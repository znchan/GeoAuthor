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esktop\Supplementary Materials\System Evaluation\"/>
    </mc:Choice>
  </mc:AlternateContent>
  <xr:revisionPtr revIDLastSave="0" documentId="13_ncr:1_{FFD96C49-55FF-4812-BCF5-686AA91F9047}" xr6:coauthVersionLast="47" xr6:coauthVersionMax="47" xr10:uidLastSave="{00000000-0000-0000-0000-000000000000}"/>
  <bookViews>
    <workbookView xWindow="-110" yWindow="-110" windowWidth="38620" windowHeight="21220" activeTab="1" xr2:uid="{00000000-000D-0000-FFFF-FFFF00000000}"/>
  </bookViews>
  <sheets>
    <sheet name="Generated Visualizations" sheetId="1" r:id="rId1"/>
    <sheet name="Generaed Text" sheetId="3" r:id="rId2"/>
  </sheets>
  <calcPr calcId="191029"/>
</workbook>
</file>

<file path=xl/calcChain.xml><?xml version="1.0" encoding="utf-8"?>
<calcChain xmlns="http://schemas.openxmlformats.org/spreadsheetml/2006/main">
  <c r="D53" i="1" l="1"/>
  <c r="B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53" i="1" s="1"/>
</calcChain>
</file>

<file path=xl/sharedStrings.xml><?xml version="1.0" encoding="utf-8"?>
<sst xmlns="http://schemas.openxmlformats.org/spreadsheetml/2006/main" count="236" uniqueCount="138">
  <si>
    <t>correct</t>
  </si>
  <si>
    <t>containing excess elements</t>
  </si>
  <si>
    <t>missing elements</t>
  </si>
  <si>
    <t>elemental Chaos</t>
  </si>
  <si>
    <t>total</t>
  </si>
  <si>
    <t>Average</t>
    <phoneticPr fontId="2" type="noConversion"/>
  </si>
  <si>
    <t>Time Consumption(ms)</t>
    <phoneticPr fontId="2" type="noConversion"/>
  </si>
  <si>
    <t>text2josn (LLM response)</t>
    <phoneticPr fontId="2" type="noConversion"/>
  </si>
  <si>
    <t>Map Rendering</t>
    <phoneticPr fontId="2" type="noConversion"/>
  </si>
  <si>
    <t>Result</t>
    <phoneticPr fontId="2" type="noConversion"/>
  </si>
  <si>
    <t>Summary Statistics</t>
    <phoneticPr fontId="2" type="noConversion"/>
  </si>
  <si>
    <t>Correct</t>
    <phoneticPr fontId="2" type="noConversion"/>
  </si>
  <si>
    <t>Correct but containing excess elements</t>
    <phoneticPr fontId="2" type="noConversion"/>
  </si>
  <si>
    <t>Elemental Chaos</t>
    <phoneticPr fontId="2" type="noConversion"/>
  </si>
  <si>
    <t>Missing Elements</t>
    <phoneticPr fontId="2" type="noConversion"/>
  </si>
  <si>
    <t>Total</t>
    <phoneticPr fontId="2" type="noConversion"/>
  </si>
  <si>
    <t>Our first day in Paris began at the majestic Notre-Dame Cathedral, a masterpiece of French Gothic architecture, and the route is marked in blue. The historic Latin Quarter nearby was bustling with students and tourists alike, offering a charming array of old bookshops and bistros. After lunch, we headed to Le Marais, the trendy and cultural heart of Paris. We explored several art galleries and visited a traditional crêperie for a classic culinary delight. In the evening, we drove along the banks of the Seine River and saw the illuminated bridges, and finally arrived at La Défense, the major business district just outside the city limits, where we admired the massive modern Grande Arche. We started our second day in the artistic and hilltop neighborhood of Montmartre. We took a leisurely morning stroll through the winding cobblestone streets, admiring the local artists painting in Place du Tertre. The quaint cafes and bakeries of the area provided a romantic start to our day. In the afternoon, we headed to the bustling Champs-Élysées avenue that is famous for its luxury theaters and cafes. We also paid our respects at the Arc de Triomphe, and indulged in some window shopping at the grand department stores that the area is known for. As the day progressed, we made our way to the Trocadéro Gardens for our final stop. Finally we arrived at the Eiffel Tower. The observation decks offered us stunning panoramic views of the city and the sparkling lights of the Iron Lady at dusk provided a fitting end to our wonderful two days of discovery.</t>
  </si>
  <si>
    <t>We continued our journey through the vibrant neighborhoods, and as the sun began to set, we found ourselves at La Défense, the major business district just outside the city limits. The area is characterized by towering skyscrapers and modern architecture, with the iconic Grande Arche standing tall as a symbol of progress and innovation. The illuminated towers and glass facades reflected the golden hues of the setting sun, creating a mesmerizing spectacle. As we strolled through the expansive park, we couldn't help but feel a sense of awe at the juxtaposition of cutting-edge technology and timeless beauty.</t>
  </si>
  <si>
    <t>The study tour in the San Francisco Bay Area kicked off at the foggy Golden Gate Bridge, providing a dramatic backdrop for our initial geography assessment. Instead of lingering in the city center, the team immediately headed south towards Palo Alto to observe the ecosystem of Silicon Valley. We spent the afternoon on the campus of Stanford University, analyzing the integration of academic resources with nearby tech giants. The route then took us to a busy tech park in Mountain View, where the atmosphere was markedly different from traditional business districts—casual yet intensely focused. Navigating back to San Francisco proper, we bypassed the tourist-heavy Fisherman's Wharf to inspect the urban redevelopment around the Salesforce Tower. </t>
  </si>
  <si>
    <t xml:space="preserve"> We continued our journey through the heart of San Francisco, passing by the vibrant Salesforce Tower, highlighted in orange on our map. This iconic skyscraper stands out against the backdrop of the city’s diverse architectural landscape, blending seamlessly with the modernity of the Financial District. As we approached the tower, the bustling streets below seemed to pulse with energy, a stark contrast to the serene views we had enjoyed earlier.</t>
  </si>
  <si>
    <t>Navigating the eternal city of Rome proved to be a lesson in history itself. Our journey didn''t follow a straight line; it meandered through the narrow, cobblestone streets near the Pantheon, where ancient columns stand surprisingly intact amidst modern gelaterias. The crowds at the Trevi Fountain were dense, throwing coins and wishing for a return, which highlighted the city''s enduring appeal to global travelers. Moving across the Tiber River, the atmosphere shifted as we entered the Vatican City area. The scale of St. Peter''s Basilica was overwhelming, and we spent hours documenting the art preservation efforts in the museums. Unlike other capitals filled with skyscrapers, Rome''s skyline remains dominated by domes and bell towers. The final leg of our route led us to the Colosseum at sunset. Seeing the massive amphitheater illuminated against the darkening sky offered a stark reminder of the city''s imperial past, capping off a route that felt like walking through a living museum</t>
  </si>
  <si>
    <t>As we followed the blue line on our map, it guided us from the awe-inspiring Pantheon, where the oculus allows natural light to filter through, to the bustling Trevi Fountain, a symbol of love and fortune for many. Crossing the Tiber, the line pointed towards the Vatican City area, home to the majestic St. Peter's Basilica, whose intricate details and vast interior spaces left us in awe. After exploring the museums, the path led us to the Colosseum, where the setting sun cast a dramatic glow over the ancient arena, marking the end of our historical journey through Rome.</t>
  </si>
  <si>
    <t>The Kyoto Basin, located in the central part of the Honshu island, presents a unique topographical enclosure bounded by mountains on three sides: the Higashiyama, Kitayama, and Nishiyama ranges. This research investigates how this geomorphological configuration influences the local microclimate, specifically the phenomenon of extreme temperature fluctuations known as the basin effect. The hydrographic network, dominated by the Kamo and Katsura rivers, was mapped to understand the alluvial sedimentation patterns that historically facilitated early agricultural settlements. Soil samples collected from the southern Fushimi ward indicate a rich groundwater reservoir, which has been historically pivotal for the region''s brewing industry. Additionally, the grid-based urban layout, modeled after ancient Chang''an, is analyzed in the context of slope stability and natural drainage capabilities of the underlying sedimentary rock layers</t>
  </si>
  <si>
    <t>A blue line runs through the transect analysis, highlighting key transportation corridors that connect the dense urban centers with the expanding suburbs, emphasizing the critical role of infrastructure in shaping the urban landscape.</t>
  </si>
  <si>
    <t>The infrastructure density audit was conducted in the Downtown Core planning area. The starting node was identified at the Raffles Place MRT station, serving as the primary transit hub. From there, the pedestrian flow was tracked crossing the Cavenagh Bridge towards the Asian Civilisations Museum on the north bank of the Singapore River. The route then utilized the Anderson Bridge to return to the Esplanade Park, documenting the proximity of the Padang and the National Gallery Singapore. The final leg of the survey involved a structural observation of the Helix Bridge, linking the Marina Centre zone to the integrated resort at Marina Bay Sands. The precise location of the ArtScience Museum was noted as the terminal point for this specific pedestrian connectivity study</t>
  </si>
  <si>
    <t> As the survey continued, the team approached the vibrant Singapore River, a key waterway that meanders through the heart of the city, providing a scenic backdrop to the urban landscape. This stretch of the river, marked by the small icon in the illustration, serves as a natural boundary between the Esplanade Park and the Padang, highlighting the rich tapestry of Singapore’s historical and cultural landmarks.</t>
  </si>
  <si>
    <t>The urban morphology analysis commenced at the Plaça de Catalunya, the pivotal square separating the old city from the 19th-century expansion. Moving south into the Gothic Quarter (Barri Gòtic), the team navigated the narrow pedestrian network along the Carrer del Bisbe, documenting the medieval structures surrounding the Cathedral of Barcelona. Upon exiting the dense historical core, the survey trajectory shifted northward into the Eixample district. We followed the Passeig de Gràcia, a major avenue noted for its modernist architecture. Specific coordinates were recorded at Casa Batlló and the intersection with Carrer d'Aragó before reaching Casa Milà. The transect concluded at the intersection with Avinguda Diagonal, providing a comparative study of the chamfered grid layout designed by Ildefons Cerdà.</t>
  </si>
  <si>
    <t> Starting at Plaça de Catalunya, the research path led south into the Gothic Quarter, where the narrow streets and historic buildings provided a rich tapestry for urban morphology studies.</t>
  </si>
  <si>
    <t>Our exploration of Shanghai highlighted the dramatic contrast between its colonial history and futuristic ambitions. The journey began at the iconic The Bund (Waitan), where we admired the historic architecture along the west bank of the Huangpu River. We then took a ferry across the water to the Lujiazui Financial and Trade Zone. The highlight was ascending the Shanghai Tower, the tallest building in China, which offered a bird's-eye view of the Oriental Pearl Tower nearby. On the second day, we immersed ourselves in the cultural atmosphere of the Former French Concession. We walked along the tree-lined Wukang Road, stopping to photograph the famous Wukang Mansion. Later, we visited the Yu Garden in the Old City to appreciate traditional landscape design. The final leg of our trip focused on urban renewal at the West Bund (Xuhui Riverside). We visited the Long Museum (West Bund) and walked through the Tank Shanghai park, observing how industrial heritage has been transformed into public art spaces.</t>
  </si>
  <si>
    <t>Continuing our tour, we made our way back to the Shanghai Tower, now visible as a prominent feature on the horizon, its modern silhouette a stark contrast to the traditional structures of the Old City we had just left behind.</t>
  </si>
  <si>
    <t>This comprehensive spatial survey investigates the "Central Axis of Beijing," a 7.8-kilometer north-south line that has dictated the city's urban planning since the Yuan Dynasty, now extended into the modern era. The trajectory analysis begins at the northernmost terminus, the Olympic Forest Park, which serves as an ecological anchor. Moving southward, the survey documents the integration of the 2008 Olympic legacy, specifically mapping the National Stadium (Bird's Nest) and the National Aquatics Center (Water Cube), which flank the axis symmetrically. 
Crossing the North 4th Ring Road, the route enters the historical inner city. Key geodetic points were recorded at the Bell and Drum Towers, marking the traditional timekeeping center. The path continues through the Di'anmen area, noting the preservation of the traditional Hu tong texture, before reaching Jingshan Park. From the summit of Jingshan, the survey provides a visual assessment of the Palace Museum (Forbidden City), the world's largest palatial complex, whose geometry strictly adheres to the axial alignment.
Proceeding south through the Meridian Gate, the study enters the political core at Tiananmen Square. Here, the spatial relationship between the Great Hall of the People (to the west) and the National Museum of China (to the east) was analyzed. The axis then bisects the Zhengyangmen (Qianmen) gate tower, leading into the commercial pedestrian district.</t>
  </si>
  <si>
    <t>Continuing south through the Meridian Gate, the study enters the political core at Tiananmen Square. Here, the spatial relationship between the Great Hall of the People (to the west) and the National Museum of China (to the east) was analyzed. To the north, the green-filled Jingshan Park, framed by its white borders, stands as a serene landmark, contributing to the axis's aesthetic coherence.</t>
  </si>
  <si>
    <t>Nestled in eastern China's Zhejiang Province, Hangzhou captivates visitors with its ethereal beauty centered around the legendary West Lake. This UNESCO World Heritage site enchants with its mirror-like waters reflecting ancient pagodas, graceful willow trees, and traditional stone bridges that seem to float on the misty surface. The city seamlessly blends natural splendor with cultural heritage, where visitors can stroll along the Su Causeway lined with blooming lotus flowers, explore the tranquil Lingyin Temple hidden among bamboo groves, or climb to Leifeng Pagoda for panoramic views of the lake's poetic landscape. As morning fog dances across the water and evening lights twinkle from tea houses along the shore, Hangzhou lives up to its ancient reputation as a "paradise on earth," offering a timeless escape where classical Chinese gardens, historic temples, and serene waterways create an unforgettable tapestry of natural and architectural harmony.</t>
  </si>
  <si>
    <t>As the morning sun begins to rise, casting golden hues over the tranquil waters of West Lake, the area marked by the small, green icon to the northeast of the lake's southern shore comes into view. This spot, just beyond the bustling streets of the city center, offers a serene retreat where one can enjoy the gentle breeze and the soft chirping of birds, providing a perfect moment of respite from the urban hustle.</t>
  </si>
  <si>
    <t>Hangzhou is a beautiful city. Starting at eight in the morning at West Lake, I strolled along the Su Causeway to the famous Broken Bridge, savoring the tranquil beauty of the lake waters bathed in morning light, then took a boat tour to admire the poetic scenery of Three Pools Mirroring the Moon. At noon, I headed to Hefang Street to taste authentic Hangzhou cuisine and xiaolongbao dumplings while experiencing the charming atmosphere of old Hangzhou in its ancient streets. In the afternoon, I wandered through Lingyin Temple, finding peace and tranquility in this thousand-year-old monastery while admiring the peculiar stone carvings at Feilai Peak and the lush bamboo groves. As evening approached, I climbed Leifeng Pagoda to overlook the entire West Lake at sunset, watching the mesmerizing sight of shimmering waters as the sun dipped below the horizon. When night fell, I took a leisurely walk along Lakeside Road, sipping a pot of Longjing tea while listening to distant traditional music, experiencing the unique poetic charm that makes Hangzhou truly deserve its reputation as "paradise on earth."</t>
  </si>
  <si>
    <t>After exploring the serene beauty of West Lake, I followed the red line on the map, walking along the picturesque path that connects the scenic spots, eventually arriving at the picturesque West River Embankment, where the vibrant colors of the stroke added a touch of vitality to the already enchanting landscape.</t>
  </si>
  <si>
    <t>Our first day in Tokyo began at the iconic Senso-ji Temple,Tokyo's oldest Buddhist temple, and the route is marked in green. The vibrant Nakamise shopping street leading up to the temple was bustling withtourists and locals alike, offering a variety of traditional snacks and souvenirs. After lunch, we headed to Akihabara, the electronics and anime mecca of Tokyo. We explored several multi-story electronics stores and visited a maidcafe for a unique cultural experience. In the evening, we drove through the vicinity of the Imperial Palace and saw it, and finally arrived at Odaiba, a large artificial island inTokyo Bay, where we enjoyed the futuristic architecture. We started our second day in the fabulous and charming neighborhood of Nakameguro. We took a leisurely morning stroll along the Meguro River, admiring the cherry trees lining its banks. The hip cafes and boutiques of the area provided a relaxing start to our day. In the afternoon, we headed to the lively Shibuya district that famous for its busy pedestrian crossing. We also paid our respects at the statueof Hachiko, the loyal dog, and indulged in some shopping atthe trendy department stores that Shibuya is known for. As the day progressed, we made our way to Shinjuku for ourfinal stop.</t>
  </si>
  <si>
    <t>After our visit to Shinjuku, we made our way to the Tokyo Metropolitan Government Building, a prominent landmark visible from afar with its distinctive observation deck offering panoramic views of the city. This modern structure, easily recognizable on the map by its green icon, stands as a symbol of Tokyo's progress and innovation.</t>
  </si>
  <si>
    <t>Our first day in Tokyo began at the iconic Senso-ji Temple,Tokyo's oldest Buddhist temple, and the route is marked in green. The vibrant Nakamise shopping street leading up to the temple was bustling withtourists and locals alike, offering a variety of traditional snacks and souvenirs. After lunch, we headed to Akihabara, the electronics and anime mecca of Tokyo. We explored several multi-story electronics stores and visited a maidcafe for a unique cultural experience. In the evening, we drove through the vicinity of the Imperial Palace and saw it, and finally arrived at Odaiba, a large artificial island inTokyo Bay, where we enjoyed the futuristic architecture. We started our second day in the fabulous and charming neighborhood of Nakameguro. We took a leisurely morning stroll along the Meguro River, admiring the cherry trees lining its banks. The hip cafes and boutiques of the area provided a relaxing start to our day.</t>
  </si>
  <si>
    <t>The statue of Hachiko, a prominent landmark in Shibuya, stood proudly as we approached, its presence marking the end of our leisurely walk along the Meguro River.</t>
  </si>
  <si>
    <t>Our first day in New York City began at Liberty Island to see the Statue of Liberty, and the route is marked in blue. The adjacent Battery Park in Lower Manhattan, which we marked it in black, was bustling with tourists and locals alike, offering a variety of street performers and souvenir stands. After lunch, we headed to Wall Street in the Financial District, the economic heart of the city that is colored in red on our map. We explored the historic Trinity Church and visited the Federal Hall for a unique cultural experience. In the evening, we drove across the Brooklyn Bridge and saw it, and finally arrived at the DUMBO (Down Under the Manhattan Bridge Overpass) neighborhood, a specific waterfront area highlighted in purple, where we enjoyed the skyline views.</t>
  </si>
  <si>
    <t>After exploring the Financial District, we made our way to SoHo (South of Houston Street), a vibrant neighborhood highlighted in green on our map, known for its trendy boutiques and art galleries.</t>
  </si>
  <si>
    <t>Our first day in New York City began at Liberty Island to see the Statue of Liberty, and the route is marked in blue. The adjacent Battery Park in Lower Manhattan, which we marked it in black, was bustling with tourists and locals alike, offering a variety of street performers and souvenir stands. After lunch, we headed to Wall Street in the Financial District, the economic heart of the city that is colored in red on our map. We explored the historic Trinity Church and visited the Federal Hall for a unique cultural experience. In the evening, we </t>
  </si>
  <si>
    <t>After our evening meal, we wandered into DUMBO, a charming neighborhood Down Under the Manhattan Bridge Overpass, highlighted in green on our map, where the blend of old warehouses and modern boutiques created a unique and lively ambiance. The area, with its picturesque waterfront and trendy vibe, was the ideal place to end our day in New York City.</t>
  </si>
  <si>
    <t>The Yangtze River and Yellow River stand as China's two most legendary waterways, each carrying profound historical and cultural significance. The Yangtze, stretching over 6,300 kilometers as Asia's longest river, flows majestically from the Tibetan Plateau through central China to the East China Sea, nourishing fertile plains and serving as a vital transportation artery that has sustained civilizations for millennia. Meanwhile, the Yellow River, known as China's "Mother River," earned its name from the distinctive yellowish sediment it carries from the loess plateau, creating the fertile North China Plain where Chinese civilization first flourished over 5,000 years ago. Though shorter at 5,464 kilometers, the Yellow River holds immense cultural importance as the cradle of Chinese culture, while both rivers continue to play crucial roles in modern China's agriculture, industry, and daily life, representing the enduring connection between China's natural landscape and its rich heritage.</t>
  </si>
  <si>
    <t>The blue line meandering across the map signifies the Yangtze River, its majestic course stretching from the Tibetan Plateau to the East China Sea, a vivid representation of China's natural grandeur and historical depth.</t>
  </si>
  <si>
    <t>The Yangtze River and Yellow River stand as China's two most legendary waterways, each carrying profound historical and cultural significance.</t>
  </si>
  <si>
    <t>The Yangtze River and Yellow River stand as China's two most legendary waterways, each carrying profound historical and cultural significance, with the blue line representing the Yangtze River prominently displayed on the map, winding through the eastern part of the country and marking its vital role in Chinese civilization.</t>
  </si>
  <si>
    <t>Our first day in Paris began at the majestic Notre-Dame Cathedral, a masterpiece of French Gothic architecture, and the route is marked in blue. The historic Latin Quarter nearby was bustling with students and tourists alike, offering a charming array of old bookshops and bistros. After lunch, we headed to Le Marais, the trendy and cultural heart of Paris. We explored several art galleries and visited a traditional crêperie for a classic culinary delight</t>
  </si>
  <si>
    <t>Next, we made our way to the iconic Champs-Élysées avenue, a grand boulevard lined with luxurious shops and cafes, stretching from the Arc de Triomphe to the Place de la Concorde. The avenue is not only a shopping paradise but also a symbol of Parisian elegance and a popular spot for evening strolls and parades.</t>
  </si>
  <si>
    <t>The study tour in the San Francisco Bay Area kicked off at the foggy Golden Gate Bridge, providing a dramatic backdrop for our initial geography assessment. Instead of lingering in the city center, the team immediately headed south towards Palo Alto to observe the ecosystem of Silicon Valley. We spent the afternoon on the campus of Stanford University, analyzing the integration of academic resources with nearby tech giants. The route then took us to a busy tech park in Mountain View, where the atmosphere was markedly different from traditional business districts—casual yet intensely focused. </t>
  </si>
  <si>
    <t>After the bustling tech park, we made our way to the quieter Twin Peaks, offering panoramic views of the city. From the summit, we could see how the urban landscape seamlessly blends with natural elements, highlighting the importance of green spaces in a densely populated area. This vantage point provided a stark contrast to the industrial and academic environments we had just experienced, emphasizing the diverse facets of the San Francisco Bay Area's geography and urban planning.</t>
  </si>
  <si>
    <t>After leaving the bustling Trevi Fountain, we made our way to the National Gallery of Ancient Art, located just a stone's throw away at Via delle Quattro Fontane. This hidden gem houses an impressive collection of Roman and Italian artworks from the 4th century BC to the 5th century AD. The gallery's proximity to the Trevi Fountain and its rich historical context made it a perfect stop for those seeking a deeper understanding of Roman artistic heritage. As we stepped inside, the cool, dimly lit interior contrasted sharply with the vibrant energy of the surrounding streets, offering a serene escape into the past.</t>
  </si>
  <si>
    <t>The study also delves into the ecological dynamics of St James's Park, a green oasis within the heart of the City of Westminster. This royal park, located near The Mall and adjacent to St. James's, supports a diverse population of waterfowl, including mallards, swans, and geese. The presence of these species highlights the importance of urban green spaces in maintaining biodiversity and providing recreational opportunities for residents and tourists alike. The park's proximity to the historic urban core underscores the complex interplay between natural habitats and urban development, offering insights into how green infrastructure can mitigate the effects of urbanization on wildlife</t>
  </si>
  <si>
    <t>Continuing the infrastructure density audit, the next segment of the study extended along the East Coast Parkway, tracing the route from Marina East towards the easternmost tip of Singapore. This section highlighted the strategic placement of the Marina East Waterfront Park, which offers recreational spaces and enhances the urban landscape. The audit also noted the proximity of the park to the residential areas and the upcoming development projects in the Central Region, emphasizing the importance of green spaces in urban planning. As the audit progressed, it documented the integration of the East Coast Green Corridor, connecting various parks and nature reserves, thus contributing to the overall ecological network of Singapore</t>
  </si>
  <si>
    <t>Continuing our analysis, we moved westward into the Parc Joan Miró, located in the la Nova Esquerra de l'Eixample neighborhood within the larger Eixample district. This park, designed by Josep Lluís Sert and dedicated to the renowned Catalan painter Joan Miró, showcases a unique blend of modernist and organic architectural elements. The park's layout, with its winding paths and sculptural forms, provides a stark contrast to the geometric precision of the surrounding grid-like streets characteristic of Cerdà's urban planning. Notably, the park's design incorporates green spaces and open areas that serve both recreational and ecological purposes, reflecting the evolving priorities in urban design and sustainability. As we documented the park's features, we also noted the integration of public art installations, further enriching the cultural landscape of this vibrant neighborhood.</t>
  </si>
  <si>
    <t>Our exploration of Shanghai highlighted the dramatic contrast between its colonial history and futuristic ambitions. The journey began at the iconic The Bund (Waitan), where we admired the historic architecture along the west bank of the Huangpu River. We then took a ferry across the water to the Lujiazui Financial and Trade Zone. The highlight was ascending the Shanghai Tower, the tallest building in China, which offered a bird's-eye view of the Oriental Pearl Tower nearby. On the second day, we immersed ourselves in the cultural atmosphere of the Former French Concession. We walked along the tree-lined Wukang Road, stopping to photograph the famous Wukang Mansion. Later, we visited the Yu Garden in the Old City to appreciate traditional landscape design. The next  leg of our trip focused on urban renewal at the West Bund (Xuhui Riverside). We visited the Long Museum (West Bund) and walked through the Tank Shanghai park, observing how industrial heritage has been transformed into public art spaces.</t>
  </si>
  <si>
    <t>Continuing our exploration of Lujiazui, we ventured to Pudong's East Bank Greenway, starting at Pujiang One (浦江一号). This modern promenade offers stunning views of the Huangpu River and the skyscrapers lining its shores. As we strolled along the greenway, we noticed the integration of green spaces and pedestrian pathways, reflecting Shanghai's commitment to sustainable urban development. Further along, we reached the Lujiadu area, where the East Bank Greenway connects seamlessly with the broader network of parks and recreational areas, providing residents and visitors alike with a tranquil escape from the city's bustling center.</t>
  </si>
  <si>
    <t xml:space="preserve">This comprehensive spatial survey investigates the "Central Axis of Beijing," a 7.8-kilometer north-south line that has dictated the city's urban planning since the Yuan Dynasty, now extended into the modern era. The trajectory analysis begins at the northernmost terminus, the Olympic Forest Park, which serves as an ecological anchor. Moving southward, the survey documents the integration of the 2008 Olympic legacy, specifically mapping the National Stadium (Bird's Nest) and the National Aquatics Center (Water Cube), which flank the axis symmetrically. 
Crossing the North 4th Ring Road, the route enters the historical inner city. Key geodetic points were recorded at the Bell and Drum Towers, marking the traditional timekeeping center. The path continues through the Di'anmen area, noting the preservation of the traditional Hu tong texture, before reaching Jingshan Park. .
</t>
  </si>
  <si>
    <t>Continuing south past the North 4th Ring Road, the survey traverses the historic heart of Beijing, arriving at the Palace Museum (Forbidden City), a UNESCO World Heritage Site that stands as a testament to imperial China’s architectural grandeur and cultural richness. This monumental complex, encompassing over 900 buildings and covering more than 720,000 square meters, was the imperial palace for 24 emperors of the Ming and Qing dynasties. Its central axis, aligned with the Central Axis of Beijing, extends through the Meridian Gate, the Imperial Way, and the Hall of Supreme Harmony, reflecting the harmonious relationship between man and nature as envisioned by ancient Chinese geomancers.</t>
  </si>
  <si>
    <t>China's urbanization process has been one of the most remarkable transformations in modern history, fundamentally reshaping the nation's social and economic landscape over the past four decades. Beginning with the economic reforms initiated in 1978, millions of rural residents migrated to cities in search of better employment opportunities and improved living standards, driving the urban population from less than 20% to over 60% today. Major metropolitan areas like Beijing, Shanghai, and Guangzhou expanded rapidly, developing into global financial and manufacturing hubs that attracted both domestic and international investment. The government's strategic urban planning policies, including the establishment of special economic zones, accelerated this process by creating favorable conditions for industrial development and foreign trade.</t>
  </si>
  <si>
    <t>Shenzhen, a city in Guangdong Province on the Chinese mainland, has emerged as a prime example of rapid urbanization and economic transformation. With the establishment of the Special Economic Zone (SEZ) in 1980, Shenzhen became a pioneer in China’s reform and opening-up policy, attracting significant foreign direct investment and fostering a dynamic entrepreneurial environment. Its strategic location near Hong Kong and Macau, coupled with favorable government policies, transformed it into a bustling metropolis known for its high-tech industries, innovative spirit, and vibrant skyline. Today, Shenzhen continues to play a crucial role in China’s urbanization narrative, serving as a model for sustainable development and economic growth.</t>
  </si>
  <si>
    <t>Climate change represents one of the most pressing challenges facing our planet today, with rising global temperatures driving unprecedented shifts in weather patterns, sea levels, and ecosystem stability. Scientific evidence consistently shows that human activities, particularly the burning of fossil fuels and deforestation, have significantly increased greenhouse gas concentrations in the atmosphere since the Industrial Revolution. The consequences are already visible worldwide, from melting Arctic ice caps and expanding deserts to more frequent extreme weather events including hurricanes, droughts, and heatwaves that threaten agriculture and human settlements. Coastal regions face particular vulnerability as rising sea levels threaten to submerge low-lying areas and displace millions of people, with small island nations bearing the brunt of these changes despite contributing minimally to global emissions.</t>
  </si>
  <si>
    <t>Felidhu Atoll, a picturesque collection of islands in the Maldives, is particularly vulnerable to the impacts of climate change. Rising sea levels pose a significant threat to this low-lying atoll, where many islands are just a few meters above sea level. The Maldives, as a nation, has already experienced the erosion of coastal areas and the salinization of freshwater resources, which are critical for sustaining life on the islands. The government of the Maldives has been actively working on adaptation strategies, such as building sea walls and implementing water conservation measures, to mitigate the effects of climate change. However, the long-term sustainability of these efforts remains uncertain, especially given the country's limited financial resources and the global nature of the problem. Felidhu Atoll, like many other atolls in the Maldives, serves as a microcosm of the broader challenges faced by small island developing states in the face of climate change.</t>
  </si>
  <si>
    <t xml:space="preserve">My three-day Beijing journey began at Tiananmen Square, where the morning sunlight illuminated this solemn and majestic plaza, with the Monument to the People's Heroes standing tall as a witness to the city's historical transformations. I then entered the Forbidden City through the Meridian Gate, immediately overwhelmed by the grandeur of the imperial palace, where the golden splendor of the Hall of Supreme Harmony and the exquisite layout of the Imperial Garden left me mesmerized. On the second day, I climbed the Badaling Great Wall, gazing at the rolling mountains from atop the winding ramparts and feeling the magnificence and ancient history of this architectural wonder. In the afternoon, I visited the Temple of Heaven, pausing thoughtfully before the circular architecture of the Hall of Prayer for Good Harvests, listening to the historical echoes of ancient emperors' sacrificial ceremonies. </t>
  </si>
  <si>
    <t>As evening approached, I prepared to visit the tranquil Kunming Lake, where the Pavilion of Great Blessings stood majestically by the water's edge, offering a serene contrast to the bustling city. From the pavilion, one could gaze across the expansive lake, which reflected the surrounding greenery and the distant peaks of the Western Hills. The area around Kunming Lake, particularly the streets of Qinglongqiao, provided a glimpse into the local community life, with its narrow lanes and traditional architecture. Nearby, the scenic beauty of Beihai Park continued to enchant visitors, making it a perfect end to my journey through the diverse landscapes and cultural richness of Beijing.</t>
  </si>
  <si>
    <t>My three-day Beijing journey began at Tiananmen Square, where the morning sunlight illuminated this solemn and majestic plaza, with the Monument to the People's Heroes standing tall as a witness to the city's historical transformations. I then entered the Forbidden City through the Meridian Gate, immediately overwhelmed by the grandeur of the imperial palace, where the golden splendor of the Hall of Supreme Harmony and the exquisite layout of the Imperial Garden left me mesmerized. On the second day, I climbed the Badaling Great Wall, gazing at the rolling mountains from atop the winding ramparts and feeling the magnificence and ancient history of this architectural wonder. In the afternoon, I visited the Temple of Heaven, pausing thoughtfully before the circular architecture of the Hall of Prayer for Good Harvests, listening to the historical echoes of ancient emperors' sacrificial ceremonies. On the third day, I strolled through the Shichahai hutongs, experiencing authentic old Beijing street life while savoring traditional zhajiangmian noodles and douzhir, then proceeded to Beihai Park to admire the poetic reflection of the White Pagoda on the lake's surface. As evening approached, I prepared to visit my final destination,</t>
  </si>
  <si>
    <t>As evening approached, I prepared to visit the tranquil Aoyuncun Olympic Forest Park Greenway, a scenic route that winds through lush greenery and offers a peaceful escape from the bustling city. The park, located in the heart of Chaoyang District, provides a serene environment for both locals and tourists to enjoy nature and exercise. The greenway is lined with trees and flowers, offering a refreshing contrast to the historic sites I had visited earlier. As I walked along the path, the gentle breeze carried the scent of blooming flowers, and the chirping of birds filled the air, creating a harmonious blend of urban tranquility and natural beauty.</t>
  </si>
  <si>
    <t>Global technology innovation centers have emerged as the driving forces behind the modern digital economy, each contributing unique strengths and specializations that shape our interconnected world. Silicon Valley remains the undisputed leader in venture capital funding and startup ecosystems, where tech giants like Apple, Google, and Meta continue to push boundaries in artificial intelligence, social media, and consumer electronics while fostering a culture of entrepreneurial risk-taking that attracts talent from around the globe. Seattle has established itself as a powerhouse in cloud computing and e-commerce innovation, with Amazon and Microsoft headquartered there, creating a robust ecosystem that spans from enterprise software solutions to cutting-edge machine learning applications, while the city's proximity to top-tier universities ensures a steady pipeline of skilled engineers and researchers.</t>
  </si>
  <si>
    <t>Beijing, the capital of China, continues to consolidate its position as a global technological powerhouse, leveraging its extensive research infrastructure and strategic partnerships to drive innovation across various sectors. The city's commitment to fostering a supportive environment for startups and entrepreneurs, coupled with its robust academic institutions and government support, has attracted significant foreign investment and talent. Notably, Beijing hosts numerous incubators and accelerators that provide resources and mentorship to early-stage companies, further enhancing the local startup ecosystem. Additionally, the city's focus on sustainable technologies and smart urban planning positions it at the forefront of green innovation, with initiatives such as the Beijing National Smart City Demonstration Zone aiming to integrate advanced technologies into everyday life, from smart transportation systems to energy-efficient buildings.</t>
  </si>
  <si>
    <t>The Belt and Road Initiative has transformed numerous capital cities along its route into vibrant economic and cultural hubs that serve as crucial links in this modern Silk Road network. Almaty in Kazakhstan has emerged as a key financial center for Central Asia, leveraging its strategic position to facilitate trade between China and Europe while developing robust infrastructure for cross-border commerce. Tashkent, Uzbekistan's capital, has become a regional logistics hub with expanded rail connections and modernized ports that streamline the movement of goods across the Eurasian continent. Similarly, Islamabad has strengthened its role as a gateway for the China-Pakistan Economic Corridor, with massive infrastructure investments transforming the city's connectivity to both Chinese markets and the Arabian Sea ports. Warsaw has positioned itself as a crucial European terminus, where Chinese freight trains complete their transcontinental journey and European goods begin their eastward passage. These capital cities demonstrate how the initiative has revitalized ancient trade routes while creating new economic opportunities, and this transformation extends beyond national capitals to include historically significant cities that served as original Silk Road waypoints,</t>
  </si>
  <si>
    <t>Xi'an, the ancient capital of Shaanxi province on the Chinese mainland, has reemerged as a pivotal node in the Belt and Road Initiative, drawing on its historical significance as one of the starting points of the Silk Road. With its well-preserved Tang Dynasty sites and rich cultural heritage, Xi'an now serves as a gateway for cultural exchange and tourism, attracting visitors from around the world. The city has also invested heavily in modern transportation infrastructure, including high-speed rail connections to major cities along the route and improved air services, enhancing its connectivity to both domestic and international markets. As a result, Xi'an has become a vital link in the Belt and Road network, facilitating not only trade but also the sharing of knowledge and traditions between East and West.</t>
  </si>
  <si>
    <t>Global biodiversity hotspots represent the planet's most biologically rich yet threatened ecosystems, containing exceptional concentrations of endemic species that face significant habitat loss. The Amazon rainforest stands as the world's most famous hotspot, harboring an estimated 10% of all known species within its vast canopy while facing ongoing deforestation pressures from agriculture and development. Madagascar's unique isolation has created an evolutionary laboratory where 90% of its wildlife exists nowhere else on Earth, from its iconic lemurs to countless endemic plant species that have adapted to the island's diverse microclimates. The Mediterranean Basin spans multiple countries and supports over 25,000 plant species, many of which have evolved specialized adaptations to survive the region's hot, dry summers and mild winters. Southeast Asia's tropical forests, particularly in Indonesia and Malaysia, contain extraordinary levels of species diversity including orangutans, tigers, and thousands of unique bird species, though rapid palm oil expansion threatens these irreplaceable ecosystems.</t>
  </si>
  <si>
    <t>Yunnan, located in southwestern China, is another biodiversity hotspot characterized by its diverse topography ranging from subtropical plains to alpine mountains. This region supports a remarkable variety of flora and fauna, including numerous endemic species such as the Yunnan snub-nosed monkey and the clouded leopard. The high altitude and varied climate zones contribute to the evolution of unique plant species, many of which are found nowhere else on Earth. Yunnan's tropical and subtropical forests are crucial for maintaining regional biodiversity and serve as important habitats for a wide range of wildlife, from rare birds to exotic orchids. Despite its ecological significance, Yunnan faces challenges such as deforestation and habitat fragmentation due to agricultural expansion and urbanization.</t>
  </si>
  <si>
    <t>China's four major first-tier cities represent the pinnacle of the nation's economic development and urban sophistication, each offering distinct advantages that drive the country's growth. Beijing stands as the political and cultural capital, housing government institutions, prestigious universities, and tech giants while maintaining its role as a center for innovation and policy-making. Shanghai has established itself as the financial hub of Asia, with its gleaming skyline in Pudong symbolizing China's economic miracle, while the Bund represents the city's historical significance as a gateway for international trade and investment. Guangzhou serves as the manufacturing powerhouse of southern China, anchoring the Pearl River Delta's export economy and maintaining its position as a crucial logistics center connecting Chinese factories to global markets. Shenzhen has transformed from a fishing village into a technology metropolis in just four decades, earning the nickname "China's Silicon Valley" for its concentration of tech companies, startups, and innovation centers that rival any global tech hub. As these four cities continue to evolve and expand their influence, urban planners and economists have begun identifying emerging contenders for first-tier status, with cities like</t>
  </si>
  <si>
    <t>Hangzhou City, Zhejiang, China, is emerging as a key contender, leveraging its rich cultural heritage, technological innovation, and strategic location along the Yangtze River to become a hub for e-commerce, digital media, and high-tech industries. Known as the birthplace of tea and silk, Hangzhou's historical significance is complemented by its modern infrastructure, including the iconic West Lake, which attracts millions of tourists annually. The city's rapid development, particularly in the areas of internet finance and artificial intelligence, has positioned it as a significant player in China's tech ecosystem, further solidifying its potential to join the ranks of the nation's first-tier cities.</t>
  </si>
  <si>
    <t>Our first day in Paris began at the majestic Notre-Dame Cathedral, a masterpiece of French Gothic architecture, and the route is marked in blue. The historic Latin Quarter nearby was bustling with students and tourists alike, offering a charming array of old bookshops and bistros. After lunch, we headed to Le Marais, the trendy and cultural heart of Paris. We explored several art galleries and visited a traditional crêperie for a classic culinary delight. In the evening, we drove along the banks of the Seine River and saw the illuminated bridges, and finally arrived at La Défense, the major business district just outside the city limits, where we admired the massive modern Grande Arche. We started our second day in the artistic and hilltop neighborhood of Montmartre. We took a leisurely morning stroll through the winding cobblestone streets, admiring the local artists painting in Place du Tertre. The quaint cafes and bakeries of the area provided a romantic start to our day. In the afternoon, we headed to the bustling Champs-Élysées avenue that is famous for its luxury theaters and cafes. We also paid our respects at the Arc de Triomphe, and indulged in some window shopping at the grand department stores that the area is known for. As the day progressed, we made our way to the Trocadéro Gardens for our final stop. Finally we arrived at the Eiffel Tower. The observation decks offered us stunning panoramic views of the city and the sparkling lights of the Iron Lady at dusk provided a fitting end to our wonderful two days of discovery.'</t>
  </si>
  <si>
    <t> The 1st and 6th arrondissements of Paris are both located within the Ile-de-France region of Metropolitan France. The 1st arrondissement, with its central location and rich historical and cultural significance, is often considered the heart of Paris, while the 6th arrondissement, known for its vibrant nightlife and diverse neighborhoods, offers a different perspective of the city's urban landscape. Both areas are part of the larger metropolitan area of France, specifically within the administrative division of 75001 and 75006, respectively, which further underscores their importance within the broader context of Metropolitan France.</t>
  </si>
  <si>
    <t>The study tour in the San Francisco Bay Area kicked off at the foggy Golden Gate Bridge, providing a dramatic backdrop for our initial geography assessment. Instead of lingering in the city center, the team immediately headed south towards Palo Alto to observe the ecosystem of Silicon Valley. We spent the afternoon on the campus of Stanford University, analyzing the integration of academic resources with nearby tech giants. The route then took us to a busy tech park in Mountain View, where the atmosphere was markedly different from traditional business districts—casual yet intensely focused. Navigating back to San Francisco proper, we bypassed the tourist-heavy Fisherman's Wharf to inspect the urban redevelopment around the Salesforce Tower. The trip concluded at Twin Peaks, not just for the view, but to survey the grid layout of the city from above, noting the sharp contrast between the Victorian architecture of the Mission District and the modern skyline of the Financial District.</t>
  </si>
  <si>
    <t xml:space="preserve"> Redwood Highway is a scenic route that runs through San Rafael, Marin County, California (94901, United States), connecting various points of interest in the area. San Rafael itself is a city located in Marin County, known for its diverse neighborhoods and proximity to natural attractions. 
B Street, also situated in San Rafael (94902, United States), is another thoroughfare that contributes to the city's urban fabric. It likely intersects with Redwood Highway and other major streets, facilitating movement within the city.
1, Dowitcher Way, located in Canal, San Rafael (94901, United States), is a specific address that lies within the broader context of San Rafael's street network. This particular street name, Dowitcher Way, suggests a connection to local wildlife or geography, possibly near wetlands or similar natural areas.
These locations are interconnected through the road network, with Redwood Highway serving as a major artery that links B Street and Dowitcher Way, as well as other parts of San Rafael and Marin County.</t>
  </si>
  <si>
    <t>Pista ciclabile del Tevere, Trastevere, Municipio Roma I, and the Embassy of France are all located within the city of Rome, which is part of the region of Lazio in Italy. Trastevere, a historic district of Rome, is home to several notable landmarks such as Ponte Sisto and Lungotevere della Farnesina. The Embassy of France, situated at 67 Piazza Farnese in the nearby area of Regola, also falls within the administrative boundaries of Municipio Roma I, the first municipality of Rome. All these locations share a close geographical proximity, with addresses in the postal code 00186, indicating they are in the central part of Rome</t>
  </si>
  <si>
    <t>Bay East Drive and Marina East are both located in the Central Region of Singapore. They are part of the city's urban landscape, with Bay East Drive being a major road and Marina East featuring waterfront developments. The Central Region, which includes these areas, is the heart of Singapore's business and administrative activities. Additionally, there are two postal codes mentioned: 437437 and 018593, both of which correspond to different parts of the Central Region. While specific addresses for these postal codes are not provided, they likely encompass various residential and commercial areas within the region.</t>
  </si>
  <si>
    <r>
      <rPr>
        <sz val="11"/>
        <color theme="1"/>
        <rFont val="宋体"/>
        <charset val="134"/>
        <scheme val="minor"/>
      </rPr>
      <t>Our exploration of Shanghai highlighted the dramatic contrast between its colonial history and futuristic ambitions. The journey began at the iconic </t>
    </r>
    <r>
      <rPr>
        <sz val="11"/>
        <color theme="1"/>
        <rFont val="宋体"/>
        <charset val="134"/>
        <scheme val="minor"/>
      </rPr>
      <t>The Bund (Waitan)</t>
    </r>
    <r>
      <rPr>
        <sz val="11"/>
        <color theme="1"/>
        <rFont val="宋体"/>
        <charset val="134"/>
        <scheme val="minor"/>
      </rPr>
      <t>, where we admired the historic architecture along the west bank of the </t>
    </r>
    <r>
      <rPr>
        <sz val="11"/>
        <color theme="1"/>
        <rFont val="宋体"/>
        <charset val="134"/>
        <scheme val="minor"/>
      </rPr>
      <t>Huangpu River</t>
    </r>
    <r>
      <rPr>
        <sz val="11"/>
        <color theme="1"/>
        <rFont val="宋体"/>
        <charset val="134"/>
        <scheme val="minor"/>
      </rPr>
      <t>. We then took a ferry across the water to the </t>
    </r>
    <r>
      <rPr>
        <sz val="11"/>
        <color theme="1"/>
        <rFont val="宋体"/>
        <charset val="134"/>
        <scheme val="minor"/>
      </rPr>
      <t>Lujiazui Financial and Trade Zone</t>
    </r>
    <r>
      <rPr>
        <sz val="11"/>
        <color theme="1"/>
        <rFont val="宋体"/>
        <charset val="134"/>
        <scheme val="minor"/>
      </rPr>
      <t>. The highlight was ascending the </t>
    </r>
    <r>
      <rPr>
        <sz val="11"/>
        <color theme="1"/>
        <rFont val="宋体"/>
        <charset val="134"/>
        <scheme val="minor"/>
      </rPr>
      <t>Shanghai Tower</t>
    </r>
    <r>
      <rPr>
        <sz val="11"/>
        <color theme="1"/>
        <rFont val="宋体"/>
        <charset val="134"/>
        <scheme val="minor"/>
      </rPr>
      <t>, the tallest building in China, which offered a bird's-eye view of the </t>
    </r>
    <r>
      <rPr>
        <sz val="11"/>
        <color theme="1"/>
        <rFont val="宋体"/>
        <charset val="134"/>
        <scheme val="minor"/>
      </rPr>
      <t>Oriental Pearl Tower</t>
    </r>
    <r>
      <rPr>
        <sz val="11"/>
        <color theme="1"/>
        <rFont val="宋体"/>
        <charset val="134"/>
        <scheme val="minor"/>
      </rPr>
      <t> nearby. On the second day, we immersed ourselves in the cultural atmosphere of the </t>
    </r>
    <r>
      <rPr>
        <sz val="11"/>
        <color theme="1"/>
        <rFont val="宋体"/>
        <charset val="134"/>
        <scheme val="minor"/>
      </rPr>
      <t>Former French Concession</t>
    </r>
    <r>
      <rPr>
        <sz val="11"/>
        <color theme="1"/>
        <rFont val="宋体"/>
        <charset val="134"/>
        <scheme val="minor"/>
      </rPr>
      <t>. We walked along the tree-lined Wukang Road, stopping to photograph the famous </t>
    </r>
    <r>
      <rPr>
        <sz val="11"/>
        <color theme="1"/>
        <rFont val="宋体"/>
        <charset val="134"/>
        <scheme val="minor"/>
      </rPr>
      <t>Wukang Mansion</t>
    </r>
    <r>
      <rPr>
        <sz val="11"/>
        <color theme="1"/>
        <rFont val="宋体"/>
        <charset val="134"/>
        <scheme val="minor"/>
      </rPr>
      <t>. Later, we visited the </t>
    </r>
    <r>
      <rPr>
        <sz val="11"/>
        <color theme="1"/>
        <rFont val="宋体"/>
        <charset val="134"/>
        <scheme val="minor"/>
      </rPr>
      <t>Yu Garden</t>
    </r>
    <r>
      <rPr>
        <sz val="11"/>
        <color theme="1"/>
        <rFont val="宋体"/>
        <charset val="134"/>
        <scheme val="minor"/>
      </rPr>
      <t> in the Old City to appreciate traditional landscape design. The final leg of our trip focused on urban renewal at the West Bund (Xuhui Riverside). We visited the </t>
    </r>
    <r>
      <rPr>
        <sz val="11"/>
        <color theme="1"/>
        <rFont val="宋体"/>
        <charset val="134"/>
        <scheme val="minor"/>
      </rPr>
      <t>Long Museum (West Bund)</t>
    </r>
    <r>
      <rPr>
        <sz val="11"/>
        <color theme="1"/>
        <rFont val="宋体"/>
        <charset val="134"/>
        <scheme val="minor"/>
      </rPr>
      <t> and walked through the </t>
    </r>
    <r>
      <rPr>
        <sz val="11"/>
        <color theme="1"/>
        <rFont val="宋体"/>
        <charset val="134"/>
        <scheme val="minor"/>
      </rPr>
      <t>Tank Shanghai park</t>
    </r>
    <r>
      <rPr>
        <sz val="11"/>
        <color theme="1"/>
        <rFont val="宋体"/>
        <charset val="134"/>
        <scheme val="minor"/>
      </rPr>
      <t>, observing how industrial heritage has been transformed into public art spaces.</t>
    </r>
  </si>
  <si>
    <t>Yan'an Road Tunnel, located in Shanghai, connects the city center with Pudong, facilitating travel between these two areas. Lujiazui Subdistrict, which is part of Pudong, is home to several significant landmarks such as the Shanghai International Convention Center, situated at 2727 Binjiang Avenue. This convention center is easily accessible via the tunnel, enhancing the area's connectivity and economic activities. Additionally, within the same subdistrict, there is a residential area known as Yuanfang Lane (元芳弄), where addresses range from 5 to 21, located in the Waitan Subdistrict of Huangpu District. These locations collectively form a network of infrastructure and residential areas that support the bustling commercial and residential life in Shanghai.</t>
  </si>
  <si>
    <t>Haidian District, Beijing (postal code 100103) and Beijing (postal code 100015) are both located within the Chinese mainland, which is part of China. Haidian District is a district of Beijing city, known for its educational institutions and scientific research facilities. The postal code 100875 also corresponds to areas within Beijing, highlighting the diverse geographical and administrative divisions within the city.</t>
  </si>
  <si>
    <t>Xinqiao is located in Songjiang District, which is part of Shanghai, China (postal code 201109). Xihu District, on the other hand, is situated in Hangzhou City, Zhejiang Province, China (postal code 310013). While both areas are within the same country, they are geographically distant from each other, with Hangzhou being approximately 100 kilometers southwest of Shanghai. Both regions are significant in their own right; Songjiang District is known for its industrial development and historical sites, whereas Xihu District is renowned for its scenic beauty and cultural heritage, including the famous West Lake.</t>
  </si>
  <si>
    <t>Japan, South Korea, and China are located in East Asia and share cultural and historical ties. Japan is situated to the east of China and across the Sea of Japan (or East Sea) from South Korea. The three countries are approximately 375 kilometers apart from each other, with Japan being about 375 kilometers west of South Korea. 
China, the largest of the three nations in terms of population and land area, borders both Japan and South Korea. It shares a maritime border with Japan through the East China Sea and the Yellow Sea, and it has a land border with South Korea in the region known as the Korean Peninsula. 
These geographical relationships have influenced trade, migration, and cultural exchanges throughout history. Today, these countries continue to engage in significant economic and diplomatic interactions, with major ports and transportation networks facilitating connections between them.</t>
  </si>
  <si>
    <t>Green Di and Fu Di are two locations within the Chinese mainland, specifically in Xihu District, Hangzhou City, Zhejiang Province, China. Green Di is also known as Bao Jia Tang, while Fu Di is also referred to as Shen Jia Men. Both are situated in Jiangcun, sharing a close geographical relationship. The postal code for this area is 310013, indicating it is a well-defined region within Hangzhou City.</t>
  </si>
  <si>
    <t>The citizen center in Sijiqing, located in Shangcheng District of Hangzhou City, Zhejiang, 310026, China, is situated approximately 5 kilometers northeast of the city center. Zhijiang Road, which runs through Xihu District, Hangzhou City, Zhejiang, 310008, China, connects various districts within the city and passes near the citizen center. On Zhijiang Road, specifically at number 148 in Zhuantang, Xihu District, Hangzhou City, Zhejiang, 310008, China, stands Songcheng, a popular cultural theme park that attracts numerous visitors. Thus, these locations are interconnected through their geographical proximity and shared administrative divisions within Hangzhou City.</t>
  </si>
  <si>
    <t>PARIS — Recent tourism data from late July 2024 underscores the vibrant activity across the French capital, as iconic landmarks like the Eiffel Tower and Montmartre recorded a significant surge in foot traffic paired with exceptionally high visitor satisfaction ratings, reflecting a robust peak season for the city’s cultural and historic hubs.</t>
  </si>
  <si>
    <t>PARIS — Recent tourism data from late July 2024 further highlights the bustling atmosphere in the French capital, with various districts and landmarks experiencing notable increases in visitor numbers. Notre-Dame Cathedral attracted 25,400 visitors, garnering a high satisfaction rating of 4.8 out of 5. The Latin Quarter followed closely with 18,200 visitors and a rating of 4.5. Le Marais saw 15,700 visitors, achieving a commendable score of 4.7. La Défense, while still popular, had fewer visitors at 12,300 but maintained a solid rating of 4.2. Montmartre, known for its artistic heritage, welcomed 22,100 visitors on July 21st, scoring impressively with a 4.9 rating. These figures indicate a consistent trend of high visitor engagement and satisfaction across diverse areas of Paris during this period.</t>
  </si>
  <si>
    <t>SAN FRANCISCO — A mid-summer demographic analysis of the Bay Area’s key transit and cultural nodes reveals a distinct divide between the region’s scenic landmarks and its industrial heartlands.</t>
  </si>
  <si>
    <t>A mid-summer demographic analysis of the Bay Area’s key transit and cultural nodes reveals a distinct divide between the region’s scenic landmarks and its industrial heartlands. Notably, domestic visitors significantly outnumber international tourists at many of these locations, with domestic visitor percentages ranging from 45.2% at the Golden Gate Bridge to an impressive 70.1% at Salesforce Tower. This trend suggests a strong local interest in the area’s technological and business centers. In contrast, sites like the Mission District and Twin Peaks show a more balanced distribution of visitors, with each attracting approximately half domestic and half international tourists. The Financial District, however, stands out as a particularly popular destination for international travelers, with 34.2% of visitors coming from abroad. These patterns highlight the diverse appeal of the Bay Area, catering to both local residents and global tourists seeking different aspects of the region’s culture and landscape.</t>
  </si>
  <si>
    <t>Fresh polling data released on July 17 points to a surge for President Donald Trump in several pivotal swing states, casting a shadow over President Joe Biden’s path to victory.</t>
  </si>
  <si>
    <t>Fresh polling data released on July 17 indicates a significant surge for President Donald Trump in several key swing states, particularly in Georgia, Pennsylvania, Michigan, Arizona, and Wisconsin, where his support rates have risen notably. In contrast, President Joe Biden maintains a strong lead in California and Texas, with rates of 52% and 54% respectively for Biden. Additionally, Trump's support is overwhelming in red states like Missouri (55%), Nebraska (58%), and Kansas (50%), while Louisiana shows a close race with a slight edge for Trump. The data suggests a mixed picture for Biden, who retains competitive positions in Michigan, Arizona, and Wisconsin but faces challenges in states like Georgia and Pennsylvania.</t>
  </si>
  <si>
    <t xml:space="preserve">China’s coastal provinces continued to cement their role as the nation’s primary economic engines in 2023, with newly released data revealing a steady upward trajectory for the country’s maritime heartlands. The eastern seaboard showcased remarkable resilience amidst global headwinds. </t>
  </si>
  <si>
    <t>with newly released data revealing a steady upward trajectory for the country’s maritime heartlands. The eastern seaboard showcased remarkable resilience amidst global headwinds, with Guangdong leading the pack, recording a GDP of 13.57 trillion yuan in 2023, up from 12.91 trillion yuan in 2022. Jiangsu followed closely with a GDP of 12.82 trillion yuan, marking a 4.3% increase from the previous year. Shandong and Zhejiang also demonstrated strong growth, with respective increases of 5.4% and 6.3%. Fujian maintained its steady performance, while Shanghai, despite facing challenges, managed a 5.6% growth, bringing its GDP to 4.72 trillion yuan. Hebei and Liaoning showed modest improvements, with Hebei growing by 3.5% and Liaoning by 4.1%. Guangxi and Tianjin also experienced slight increases, with Guangxi growing by 3.4% and Tianjin by 2.4%. Hainan, although still recovering from past challenges, saw a notable improvement, with its GDP rising by 11.7% to 0.76 trillion yuan.</t>
  </si>
  <si>
    <t>In recent years, China's new energy vehicle market has experienced rapid growth. Regionally, the market is clearly concentrated in the eastern coastal areas, with economically developed provinces such as Guangdong and Shanghai continuing to lead the nation. This distribution pattern is closely related to the economic development level of each region, the construction of charging infrastructure, and the strength of local policy support.</t>
  </si>
  <si>
    <t>Specifically, Guangdong and Shanghai have shown the most significant growth, with their new energy vehicle sales increasing from 4.2% and 3.8% in 2015 to 82.3% and 71.2% in 2023, respectively. Provinces like Zhejiang, Jiangsu, and Beijing also exhibit strong growth trends, with sales percentages rising from 2.1%, 2.5%, and 3.2% in 2015 to 54.6%, 62.8%, and 57.1% in 2023. In contrast, inland provinces such as Henan, Shandong, Sichuan, Hubei, and Anhui show more moderate growth, though they still demonstrate steady progress, with sales percentages increasing from 0.8%, 1.6%, 1.2%, 0.9%, and 0.7% in 2015 to 12.7%, 43.5%, 35.2%, 32.8%, and 29.1% in 2023, respectively.</t>
  </si>
  <si>
    <t>Southeast Asian countries have adopted different strategies in response to the COVID-19 pandemic, and differences in healthcare systems have led to varying epidemic prevention outcomes across nations. In terms of healthcare resource allocation, city-states like Singapore have relatively well-developed healthcare systems, while some developing countries face challenges of insufficient medical resources.</t>
  </si>
  <si>
    <t>In terms of healthcare resource allocation, city-states like Singapore stand out with a high vaccination rate of 88.5%, a GDP per capita of $72,794, and a significant 4.5% of its GDP spent on healthcare. Brunei follows closely with 85.2% vaccination coverage, a GDP per capita of $31,086, and 2.3% of its GDP allocated to healthcare. Malaysia, with a vaccination rate of 83.7%, a GDP per capita of $11,414, and 3.8% of its GDP spent on healthcare, also demonstrates a robust healthcare system. Thailand, however, shows a slightly lower vaccination rate of 81.2%, a GDP per capita of $7,808, and 3.7% of its GDP dedicated to healthcare. Vietnam, with a vaccination rate of 79.8%, a GDP per capita of $3,756, and 5.6% of its GDP spent on healthcare, presents a more balanced approach. Laos, Cambodia, Myanmar, Indonesia, the Philippines, and Timor-Leste, while showing varying degrees of success in their vaccination campaigns (ranging from 48.5% to 65.8%), face challenges due to lower GDP per capita (ranging from $1,210 to $3,756) and lower healthcare spending as a percentage of GDP (ranging from 2.5% to 6.1%). These disparities highlight the significant impact of economic and healthcare infrastructure on the effectiveness of pandemic response strategies in Southeast Asia.</t>
  </si>
  <si>
    <t>Transportation infrastructure is a crucial support for regional economic development, and the construction of high-speed rail networks is believed to significantly promote economic growth in cities along the routes. The Yangtze River Delta region, as one of China's most densely networked high-speed rail areas, has experienced rapid expansion of its high-speed rail network over the past decade. This study attempts to explore the relationship between high-speed rail construction and urban economic development.</t>
  </si>
  <si>
    <t>Analyzing the data from 2010 to 2020, it is evident that cities such as Shanghai, Nanjing, Hangzhou, Suzhou, Hefei, Wuxi, and Changzhou, which had already established their high-speed rail connections before 2010, showed a gradual decline in economic growth rates post-2010, with some cities experiencing significant drops. For instance, Shanghai’s economic growth rate dropped from 10.2% in 2010 to 1.7% in 2020, while Nanjing’s rate fell from 12.3% to 4.6%. Similarly, Hangzhou saw a decrease from 11.8% to 3.9%, and Suzhou from 13.5% to 3.4%. In contrast, cities that began their high-speed rail connections later, such as Ningbo, Jiaxing, Shaoxing, Jinhua, Taizhou, and Huzhou, demonstrated more stable or even increasing economic growth rates after their high-speed rail lines were opened. For example, Ningbo’s growth rate remained relatively consistent at around 8% post-2013, while Jiaxing’s increased from 10.8% to 3.8%. Shaoxing’s rate also showed a slight increase from 10.5% to 3.5%. Jinhua’s growth rate rose from 9.8% in 2014 to 3.6% in 2020, and Taizhou’s from 9.5% to 3.8%. Huzhou’s rate decreased slightly but remained above 3.7% throughout the period. These findings suggest that while the initial phase of high-speed rail construction may have led to a temporary slowdown in economic growth due to potential reallocation of resources, the long-term benefits of improved connectivity and accessibility could eventually lead to sustained economic development. Further research is needed to explore the specific mechanisms through which high-speed rail impacts urban economies in the Yangtze River Delta region.</t>
  </si>
  <si>
    <t>Sustainable urban development has become a core issue in global urban governance, yet different cities exhibit significantly different development pathways. The traditional view holds that economic development inevitably accompanies increased carbon emissions, but single-indicator analysis often overlooks the complexity of urban development. Through multi-dimensional data analysis, we may be able to discover more diverse urban development models.</t>
  </si>
  <si>
    <t>For instance, Tokyo, with a GDP per capita of $43,200 and carbon emissions per capita at 4.8 tons, demonstrates a high public transport share of 62%, indicating a strong emphasis on sustainable transportation. In contrast, Dubai stands out with its low carbon emissions per capita (23.5 tons) despite a GDP per capita of $43,500, suggesting a unique model focused on energy efficiency and possibly a smaller population density. Meanwhile, cities like Shanghai and Beijing, both with populations over 20 million, face significant challenges with carbon emissions per capita at 8.9 and 9.5 tons respectively, despite efforts to increase public transport shares to 58% and 55%. This data underscores the importance of considering multiple factors when evaluating urban sustainability, as evidenced by the diverse strategies employed by cities such as Hong Kong, which boasts the highest public transport share at 90%, and Seoul, where a substantial portion of the population (9.7 million) lives in a city with relatively high carbon emissions per capita at 6.3 tons.</t>
  </si>
  <si>
    <t>Correct</t>
  </si>
  <si>
    <t>Hallucination problem exists</t>
  </si>
  <si>
    <t>Text quality issues exist</t>
  </si>
  <si>
    <t>Evaluation Metrics</t>
    <phoneticPr fontId="5" type="noConversion"/>
  </si>
  <si>
    <t>Hallucination</t>
    <phoneticPr fontId="5" type="noConversion"/>
  </si>
  <si>
    <t>Linguistic &amp; Textual Quality</t>
    <phoneticPr fontId="5" type="noConversion"/>
  </si>
  <si>
    <t>Entity &amp; Existence</t>
    <phoneticPr fontId="5" type="noConversion"/>
  </si>
  <si>
    <t>Spatial &amp; Topological</t>
    <phoneticPr fontId="5" type="noConversion"/>
  </si>
  <si>
    <t>Attribute &amp; Factual</t>
    <phoneticPr fontId="5" type="noConversion"/>
  </si>
  <si>
    <t>Non-existent POI/Hallucination</t>
    <phoneticPr fontId="5" type="noConversion"/>
  </si>
  <si>
    <t>Name Mismatch/Typos</t>
    <phoneticPr fontId="5" type="noConversion"/>
  </si>
  <si>
    <t>Entity Type Confusion</t>
    <phoneticPr fontId="5" type="noConversion"/>
  </si>
  <si>
    <t>Hierarchy/Inclusion Error</t>
    <phoneticPr fontId="5" type="noConversion"/>
  </si>
  <si>
    <t>Directional Error</t>
    <phoneticPr fontId="5" type="noConversion"/>
  </si>
  <si>
    <t>Address/Code Error</t>
    <phoneticPr fontId="5" type="noConversion"/>
  </si>
  <si>
    <t>Descriptive Facts(Historical/Contextual) Error</t>
    <phoneticPr fontId="5" type="noConversion"/>
  </si>
  <si>
    <t>Geometry &amp; Values</t>
    <phoneticPr fontId="5" type="noConversion"/>
  </si>
  <si>
    <t>Repetition &amp; Redundancy</t>
    <phoneticPr fontId="5" type="noConversion"/>
  </si>
  <si>
    <t>Logic &amp; Coherence</t>
    <phoneticPr fontId="5" type="noConversion"/>
  </si>
  <si>
    <t>Format &amp; Instruction</t>
    <phoneticPr fontId="5" type="noConversion"/>
  </si>
  <si>
    <t>Results</t>
    <phoneticPr fontId="5" type="noConversion"/>
  </si>
  <si>
    <t>Proximity/Distance Error</t>
    <phoneticPr fontId="5" type="noConversion"/>
  </si>
  <si>
    <t>Number of geographic entities</t>
    <phoneticPr fontId="5" type="noConversion"/>
  </si>
  <si>
    <t>Generated Text</t>
    <phoneticPr fontId="5" type="noConversion"/>
  </si>
  <si>
    <t>Serial Number</t>
    <phoneticPr fontId="5" type="noConversion"/>
  </si>
  <si>
    <t>Original Text</t>
    <phoneticPr fontId="5" type="noConversion"/>
  </si>
  <si>
    <t>Feature 1</t>
    <phoneticPr fontId="5" type="noConversion"/>
  </si>
  <si>
    <t>Feature 2</t>
    <phoneticPr fontId="5" type="noConversion"/>
  </si>
  <si>
    <t>Feature 3</t>
    <phoneticPr fontId="5" type="noConversion"/>
  </si>
  <si>
    <t>Feature 4</t>
    <phoneticPr fontId="5" type="noConversion"/>
  </si>
  <si>
    <t>Accuracy</t>
    <phoneticPr fontId="5" type="noConversion"/>
  </si>
  <si>
    <t>Hallucinations and text quality issues exist.</t>
  </si>
  <si>
    <t>Accuracy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</si>
</sst>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charset val="134"/>
      <scheme val="minor"/>
    </font>
    <font>
      <b/>
      <sz val="11"/>
      <color theme="1"/>
      <name val="宋体"/>
      <charset val="134"/>
      <scheme val="minor"/>
    </font>
    <font>
      <sz val="9"/>
      <name val="宋体"/>
      <charset val="134"/>
      <scheme val="minor"/>
    </font>
    <font>
      <sz val="11"/>
      <color theme="1"/>
      <name val="宋体"/>
      <family val="3"/>
      <charset val="134"/>
      <scheme val="minor"/>
    </font>
    <font>
      <b/>
      <sz val="11"/>
      <color theme="1"/>
      <name val="宋体"/>
      <family val="3"/>
      <charset val="134"/>
      <scheme val="minor"/>
    </font>
    <font>
      <sz val="9"/>
      <name val="宋体"/>
      <family val="3"/>
      <charset val="134"/>
      <scheme val="minor"/>
    </font>
    <font>
      <b/>
      <sz val="16"/>
      <color theme="1"/>
      <name val="Microsoft YaHei"/>
      <charset val="134"/>
    </font>
    <font>
      <b/>
      <sz val="16"/>
      <color rgb="FF000000"/>
      <name val="Microsoft YaHei"/>
      <charset val="134"/>
    </font>
    <font>
      <b/>
      <sz val="11"/>
      <color theme="1"/>
      <name val="Microsoft YaHei"/>
      <charset val="134"/>
    </font>
    <font>
      <b/>
      <sz val="11"/>
      <color rgb="FF000000"/>
      <name val="Microsoft YaHei"/>
      <charset val="134"/>
    </font>
    <font>
      <sz val="10"/>
      <color theme="1"/>
      <name val="Microsoft YaHei"/>
      <charset val="134"/>
    </font>
    <font>
      <sz val="11"/>
      <color theme="1"/>
      <name val="Microsoft YaHei"/>
      <charset val="134"/>
    </font>
    <font>
      <sz val="11"/>
      <color rgb="FF000000"/>
      <name val="Microsoft YaHei"/>
      <charset val="134"/>
    </font>
  </fonts>
  <fills count="7">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FFFF00"/>
        <bgColor indexed="64"/>
      </patternFill>
    </fill>
  </fills>
  <borders count="1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0" fontId="9" fillId="3"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0" borderId="2" xfId="0" applyFont="1" applyBorder="1" applyAlignment="1">
      <alignment horizontal="center" vertical="center" wrapText="1"/>
    </xf>
    <xf numFmtId="0" fontId="11" fillId="0" borderId="2" xfId="0" quotePrefix="1" applyFont="1" applyBorder="1" applyAlignment="1">
      <alignment horizontal="left" vertical="center" wrapText="1"/>
    </xf>
    <xf numFmtId="0" fontId="11" fillId="0" borderId="2" xfId="0" applyFont="1" applyBorder="1" applyAlignment="1">
      <alignment horizontal="left" vertical="center" wrapText="1"/>
    </xf>
    <xf numFmtId="0" fontId="0" fillId="0" borderId="2" xfId="0" applyBorder="1">
      <alignment vertical="center"/>
    </xf>
    <xf numFmtId="0" fontId="10" fillId="3"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9" fillId="6" borderId="2" xfId="0" applyFont="1" applyFill="1" applyBorder="1" applyAlignment="1">
      <alignment horizontal="center" vertical="center" wrapText="1"/>
    </xf>
    <xf numFmtId="0" fontId="4" fillId="0" borderId="2" xfId="0" applyFont="1" applyBorder="1">
      <alignment vertical="center"/>
    </xf>
    <xf numFmtId="0" fontId="3" fillId="0" borderId="0" xfId="0" applyFont="1" applyAlignment="1">
      <alignment horizontal="center" vertical="center"/>
    </xf>
    <xf numFmtId="0" fontId="0" fillId="0" borderId="0" xfId="0" applyAlignment="1">
      <alignment horizontal="center" vertical="center"/>
    </xf>
    <xf numFmtId="0" fontId="10"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3" xfId="0" applyFont="1" applyBorder="1" applyAlignment="1">
      <alignment horizontal="center" vertical="center" wrapText="1"/>
    </xf>
    <xf numFmtId="0" fontId="6" fillId="0" borderId="2"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9"/>
  <sheetViews>
    <sheetView topLeftCell="A4" workbookViewId="0">
      <selection activeCell="I58" sqref="I58"/>
    </sheetView>
  </sheetViews>
  <sheetFormatPr defaultColWidth="9" defaultRowHeight="14"/>
  <cols>
    <col min="2" max="2" width="18.7265625" customWidth="1"/>
    <col min="3" max="3" width="17.7265625" customWidth="1"/>
    <col min="4" max="4" width="17.26953125" customWidth="1"/>
  </cols>
  <sheetData>
    <row r="1" spans="1:6">
      <c r="B1" s="4" t="s">
        <v>6</v>
      </c>
      <c r="C1" s="2"/>
      <c r="D1" s="2"/>
      <c r="E1" s="3" t="s">
        <v>9</v>
      </c>
      <c r="F1" s="1"/>
    </row>
    <row r="2" spans="1:6">
      <c r="B2" s="3" t="s">
        <v>7</v>
      </c>
      <c r="C2" s="3" t="s">
        <v>8</v>
      </c>
      <c r="D2" t="s">
        <v>4</v>
      </c>
      <c r="F2" s="1"/>
    </row>
    <row r="3" spans="1:6">
      <c r="A3">
        <v>1</v>
      </c>
      <c r="B3">
        <v>9584.7999999999993</v>
      </c>
      <c r="C3">
        <f>D3-B3</f>
        <v>19966.7</v>
      </c>
      <c r="D3">
        <v>29551.5</v>
      </c>
      <c r="E3" t="s">
        <v>0</v>
      </c>
    </row>
    <row r="4" spans="1:6">
      <c r="A4">
        <v>2</v>
      </c>
      <c r="B4">
        <v>17090.900000000001</v>
      </c>
      <c r="C4">
        <f t="shared" ref="C4:C52" si="0">D4-B4</f>
        <v>44125.799999999996</v>
      </c>
      <c r="D4">
        <v>61216.7</v>
      </c>
      <c r="E4" t="s">
        <v>0</v>
      </c>
    </row>
    <row r="5" spans="1:6">
      <c r="A5">
        <v>3</v>
      </c>
      <c r="B5">
        <v>11052.4</v>
      </c>
      <c r="C5">
        <f t="shared" si="0"/>
        <v>24714.699999999997</v>
      </c>
      <c r="D5">
        <v>35767.1</v>
      </c>
      <c r="E5" t="s">
        <v>0</v>
      </c>
    </row>
    <row r="6" spans="1:6">
      <c r="A6">
        <v>4</v>
      </c>
      <c r="B6">
        <v>12734.5</v>
      </c>
      <c r="C6">
        <f t="shared" si="0"/>
        <v>26536.699999999997</v>
      </c>
      <c r="D6">
        <v>39271.199999999997</v>
      </c>
      <c r="E6" t="s">
        <v>1</v>
      </c>
    </row>
    <row r="7" spans="1:6">
      <c r="A7">
        <v>5</v>
      </c>
      <c r="B7">
        <v>8391.2999999999993</v>
      </c>
      <c r="C7">
        <f t="shared" si="0"/>
        <v>14910.5</v>
      </c>
      <c r="D7">
        <v>23301.8</v>
      </c>
      <c r="E7" t="s">
        <v>0</v>
      </c>
    </row>
    <row r="8" spans="1:6">
      <c r="A8">
        <v>6</v>
      </c>
      <c r="B8">
        <v>7535.1</v>
      </c>
      <c r="C8">
        <f t="shared" si="0"/>
        <v>8107.2999999999993</v>
      </c>
      <c r="D8">
        <v>15642.4</v>
      </c>
      <c r="E8" t="s">
        <v>0</v>
      </c>
    </row>
    <row r="9" spans="1:6">
      <c r="A9">
        <v>7</v>
      </c>
      <c r="B9">
        <v>7485.4</v>
      </c>
      <c r="C9">
        <f t="shared" si="0"/>
        <v>10557.199999999999</v>
      </c>
      <c r="D9">
        <v>18042.599999999999</v>
      </c>
      <c r="E9" t="s">
        <v>1</v>
      </c>
    </row>
    <row r="10" spans="1:6">
      <c r="A10">
        <v>8</v>
      </c>
      <c r="B10">
        <v>13430.8</v>
      </c>
      <c r="C10">
        <f t="shared" si="0"/>
        <v>32575.500000000004</v>
      </c>
      <c r="D10">
        <v>46006.3</v>
      </c>
      <c r="E10" t="s">
        <v>1</v>
      </c>
    </row>
    <row r="11" spans="1:6">
      <c r="A11">
        <v>9</v>
      </c>
      <c r="B11">
        <v>9454.4</v>
      </c>
      <c r="C11">
        <f t="shared" si="0"/>
        <v>15303.4</v>
      </c>
      <c r="D11">
        <v>24757.8</v>
      </c>
      <c r="E11" t="s">
        <v>1</v>
      </c>
    </row>
    <row r="12" spans="1:6">
      <c r="A12">
        <v>10</v>
      </c>
      <c r="B12">
        <v>6233.8</v>
      </c>
      <c r="C12">
        <f t="shared" si="0"/>
        <v>8396.2999999999993</v>
      </c>
      <c r="D12">
        <v>14630.1</v>
      </c>
      <c r="E12" t="s">
        <v>0</v>
      </c>
    </row>
    <row r="13" spans="1:6">
      <c r="A13">
        <v>11</v>
      </c>
      <c r="B13">
        <v>5590.7</v>
      </c>
      <c r="C13">
        <f t="shared" si="0"/>
        <v>9989.9000000000015</v>
      </c>
      <c r="D13">
        <v>15580.6</v>
      </c>
      <c r="E13" t="s">
        <v>0</v>
      </c>
    </row>
    <row r="14" spans="1:6">
      <c r="A14">
        <v>12</v>
      </c>
      <c r="B14">
        <v>9624.6</v>
      </c>
      <c r="C14">
        <f t="shared" si="0"/>
        <v>9234.9</v>
      </c>
      <c r="D14">
        <v>18859.5</v>
      </c>
      <c r="E14" t="s">
        <v>1</v>
      </c>
    </row>
    <row r="15" spans="1:6">
      <c r="A15">
        <v>13</v>
      </c>
      <c r="B15">
        <v>19721.3</v>
      </c>
      <c r="C15">
        <f t="shared" si="0"/>
        <v>29538.100000000002</v>
      </c>
      <c r="D15">
        <v>49259.4</v>
      </c>
      <c r="E15" t="s">
        <v>1</v>
      </c>
    </row>
    <row r="16" spans="1:6">
      <c r="A16">
        <v>14</v>
      </c>
      <c r="B16">
        <v>3597.4</v>
      </c>
      <c r="C16">
        <f t="shared" si="0"/>
        <v>14549.800000000001</v>
      </c>
      <c r="D16">
        <v>18147.2</v>
      </c>
      <c r="E16" t="s">
        <v>0</v>
      </c>
    </row>
    <row r="17" spans="1:5">
      <c r="A17">
        <v>15</v>
      </c>
      <c r="B17">
        <v>11620.3</v>
      </c>
      <c r="C17">
        <f t="shared" si="0"/>
        <v>22474.799999999999</v>
      </c>
      <c r="D17">
        <v>34095.1</v>
      </c>
      <c r="E17" t="s">
        <v>1</v>
      </c>
    </row>
    <row r="18" spans="1:5">
      <c r="A18">
        <v>16</v>
      </c>
      <c r="B18">
        <v>6253.2</v>
      </c>
      <c r="C18">
        <f t="shared" si="0"/>
        <v>9449.4000000000015</v>
      </c>
      <c r="D18">
        <v>15702.6</v>
      </c>
      <c r="E18" t="s">
        <v>2</v>
      </c>
    </row>
    <row r="19" spans="1:5">
      <c r="A19">
        <v>17</v>
      </c>
      <c r="B19">
        <v>5388.4</v>
      </c>
      <c r="C19">
        <f t="shared" si="0"/>
        <v>3383</v>
      </c>
      <c r="D19">
        <v>8771.4</v>
      </c>
      <c r="E19" t="s">
        <v>0</v>
      </c>
    </row>
    <row r="20" spans="1:5">
      <c r="A20">
        <v>18</v>
      </c>
      <c r="B20">
        <v>6606.8</v>
      </c>
      <c r="C20">
        <f t="shared" si="0"/>
        <v>10702.7</v>
      </c>
      <c r="D20">
        <v>17309.5</v>
      </c>
      <c r="E20" t="s">
        <v>1</v>
      </c>
    </row>
    <row r="21" spans="1:5">
      <c r="A21">
        <v>19</v>
      </c>
      <c r="B21">
        <v>6508.4</v>
      </c>
      <c r="C21">
        <f t="shared" si="0"/>
        <v>9128.1</v>
      </c>
      <c r="D21">
        <v>15636.5</v>
      </c>
      <c r="E21" t="s">
        <v>1</v>
      </c>
    </row>
    <row r="22" spans="1:5">
      <c r="A22">
        <v>20</v>
      </c>
      <c r="B22">
        <v>6901</v>
      </c>
      <c r="C22">
        <f t="shared" si="0"/>
        <v>11619</v>
      </c>
      <c r="D22">
        <v>18520</v>
      </c>
      <c r="E22" t="s">
        <v>0</v>
      </c>
    </row>
    <row r="23" spans="1:5">
      <c r="A23">
        <v>21</v>
      </c>
      <c r="B23">
        <v>8682.7999999999993</v>
      </c>
      <c r="C23">
        <f t="shared" si="0"/>
        <v>11702.100000000002</v>
      </c>
      <c r="D23">
        <v>20384.900000000001</v>
      </c>
      <c r="E23" t="s">
        <v>1</v>
      </c>
    </row>
    <row r="24" spans="1:5">
      <c r="A24">
        <v>22</v>
      </c>
      <c r="B24">
        <v>10183.299999999999</v>
      </c>
      <c r="C24">
        <f t="shared" si="0"/>
        <v>27089.399999999998</v>
      </c>
      <c r="D24">
        <v>37272.699999999997</v>
      </c>
      <c r="E24" t="s">
        <v>0</v>
      </c>
    </row>
    <row r="25" spans="1:5">
      <c r="A25">
        <v>23</v>
      </c>
      <c r="B25">
        <v>6253.7</v>
      </c>
      <c r="C25">
        <f t="shared" si="0"/>
        <v>11723.899999999998</v>
      </c>
      <c r="D25">
        <v>17977.599999999999</v>
      </c>
      <c r="E25" t="s">
        <v>3</v>
      </c>
    </row>
    <row r="26" spans="1:5">
      <c r="A26">
        <v>24</v>
      </c>
      <c r="B26">
        <v>7205.9</v>
      </c>
      <c r="C26">
        <f t="shared" si="0"/>
        <v>11867.6</v>
      </c>
      <c r="D26">
        <v>19073.5</v>
      </c>
      <c r="E26" t="s">
        <v>1</v>
      </c>
    </row>
    <row r="27" spans="1:5">
      <c r="A27">
        <v>25</v>
      </c>
      <c r="B27">
        <v>1987.6</v>
      </c>
      <c r="C27">
        <f t="shared" si="0"/>
        <v>1405.5</v>
      </c>
      <c r="D27">
        <v>3393.1</v>
      </c>
      <c r="E27" t="s">
        <v>2</v>
      </c>
    </row>
    <row r="28" spans="1:5">
      <c r="A28">
        <v>26</v>
      </c>
      <c r="B28">
        <v>4669.3</v>
      </c>
      <c r="C28">
        <f t="shared" si="0"/>
        <v>9873.9000000000015</v>
      </c>
      <c r="D28">
        <v>14543.2</v>
      </c>
      <c r="E28" t="s">
        <v>1</v>
      </c>
    </row>
    <row r="29" spans="1:5">
      <c r="A29">
        <v>27</v>
      </c>
      <c r="B29">
        <v>2231.3000000000002</v>
      </c>
      <c r="C29">
        <f t="shared" si="0"/>
        <v>1471.8999999999996</v>
      </c>
      <c r="D29">
        <v>3703.2</v>
      </c>
      <c r="E29" t="s">
        <v>2</v>
      </c>
    </row>
    <row r="30" spans="1:5">
      <c r="A30">
        <v>28</v>
      </c>
      <c r="B30">
        <v>12668.7</v>
      </c>
      <c r="C30">
        <f t="shared" si="0"/>
        <v>26089.100000000002</v>
      </c>
      <c r="D30">
        <v>38757.800000000003</v>
      </c>
      <c r="E30" t="s">
        <v>0</v>
      </c>
    </row>
    <row r="31" spans="1:5">
      <c r="A31">
        <v>29</v>
      </c>
      <c r="B31">
        <v>4838.3</v>
      </c>
      <c r="C31">
        <f t="shared" si="0"/>
        <v>11645.100000000002</v>
      </c>
      <c r="D31">
        <v>16483.400000000001</v>
      </c>
      <c r="E31" t="s">
        <v>1</v>
      </c>
    </row>
    <row r="32" spans="1:5">
      <c r="A32">
        <v>30</v>
      </c>
      <c r="B32">
        <v>6130.3</v>
      </c>
      <c r="C32">
        <f t="shared" si="0"/>
        <v>7217.4999999999991</v>
      </c>
      <c r="D32">
        <v>13347.8</v>
      </c>
      <c r="E32" t="s">
        <v>0</v>
      </c>
    </row>
    <row r="33" spans="1:5">
      <c r="A33">
        <v>31</v>
      </c>
      <c r="B33">
        <v>10491.9</v>
      </c>
      <c r="C33">
        <f t="shared" si="0"/>
        <v>22006.5</v>
      </c>
      <c r="D33">
        <v>32498.400000000001</v>
      </c>
      <c r="E33" t="s">
        <v>0</v>
      </c>
    </row>
    <row r="34" spans="1:5">
      <c r="A34">
        <v>32</v>
      </c>
      <c r="B34">
        <v>3276.3</v>
      </c>
      <c r="C34">
        <f t="shared" si="0"/>
        <v>1866.1999999999998</v>
      </c>
      <c r="D34">
        <v>5142.5</v>
      </c>
      <c r="E34" t="s">
        <v>2</v>
      </c>
    </row>
    <row r="35" spans="1:5">
      <c r="A35">
        <v>33</v>
      </c>
      <c r="B35">
        <v>5912.2</v>
      </c>
      <c r="C35">
        <f t="shared" si="0"/>
        <v>5821.3</v>
      </c>
      <c r="D35">
        <v>11733.5</v>
      </c>
      <c r="E35" t="s">
        <v>0</v>
      </c>
    </row>
    <row r="36" spans="1:5">
      <c r="A36">
        <v>34</v>
      </c>
      <c r="B36">
        <v>10155.9</v>
      </c>
      <c r="C36">
        <f t="shared" si="0"/>
        <v>16565.5</v>
      </c>
      <c r="D36">
        <v>26721.4</v>
      </c>
      <c r="E36" t="s">
        <v>1</v>
      </c>
    </row>
    <row r="37" spans="1:5">
      <c r="A37">
        <v>35</v>
      </c>
      <c r="B37">
        <v>4509.2</v>
      </c>
      <c r="C37">
        <f t="shared" si="0"/>
        <v>6743.5999999999995</v>
      </c>
      <c r="D37">
        <v>11252.8</v>
      </c>
      <c r="E37" t="s">
        <v>0</v>
      </c>
    </row>
    <row r="38" spans="1:5">
      <c r="A38">
        <v>36</v>
      </c>
      <c r="B38">
        <v>7637.9</v>
      </c>
      <c r="C38">
        <f t="shared" si="0"/>
        <v>10740.000000000002</v>
      </c>
      <c r="D38">
        <v>18377.900000000001</v>
      </c>
      <c r="E38" t="s">
        <v>1</v>
      </c>
    </row>
    <row r="39" spans="1:5">
      <c r="A39">
        <v>37</v>
      </c>
      <c r="B39">
        <v>4671.3</v>
      </c>
      <c r="C39">
        <f t="shared" si="0"/>
        <v>8292</v>
      </c>
      <c r="D39">
        <v>12963.3</v>
      </c>
      <c r="E39" t="s">
        <v>0</v>
      </c>
    </row>
    <row r="40" spans="1:5">
      <c r="A40">
        <v>38</v>
      </c>
      <c r="B40">
        <v>7863.2</v>
      </c>
      <c r="C40">
        <f t="shared" si="0"/>
        <v>13162.099999999999</v>
      </c>
      <c r="D40">
        <v>21025.3</v>
      </c>
      <c r="E40" t="s">
        <v>1</v>
      </c>
    </row>
    <row r="41" spans="1:5">
      <c r="A41">
        <v>39</v>
      </c>
      <c r="B41">
        <v>11555.9</v>
      </c>
      <c r="C41">
        <f t="shared" si="0"/>
        <v>23447.4</v>
      </c>
      <c r="D41">
        <v>35003.300000000003</v>
      </c>
      <c r="E41" t="s">
        <v>0</v>
      </c>
    </row>
    <row r="42" spans="1:5">
      <c r="A42">
        <v>40</v>
      </c>
      <c r="B42">
        <v>6872.9</v>
      </c>
      <c r="C42">
        <f t="shared" si="0"/>
        <v>8515.9</v>
      </c>
      <c r="D42">
        <v>15388.8</v>
      </c>
      <c r="E42" t="s">
        <v>2</v>
      </c>
    </row>
    <row r="43" spans="1:5">
      <c r="A43">
        <v>41</v>
      </c>
      <c r="B43">
        <v>8100.8</v>
      </c>
      <c r="C43">
        <f t="shared" si="0"/>
        <v>17464.7</v>
      </c>
      <c r="D43">
        <v>25565.5</v>
      </c>
      <c r="E43" t="s">
        <v>0</v>
      </c>
    </row>
    <row r="44" spans="1:5">
      <c r="A44">
        <v>42</v>
      </c>
      <c r="B44">
        <v>9380.6</v>
      </c>
      <c r="C44">
        <f t="shared" si="0"/>
        <v>20533.699999999997</v>
      </c>
      <c r="D44">
        <v>29914.3</v>
      </c>
      <c r="E44" t="s">
        <v>0</v>
      </c>
    </row>
    <row r="45" spans="1:5">
      <c r="A45">
        <v>43</v>
      </c>
      <c r="B45">
        <v>11478.2</v>
      </c>
      <c r="C45">
        <f t="shared" si="0"/>
        <v>18448.399999999998</v>
      </c>
      <c r="D45">
        <v>29926.6</v>
      </c>
      <c r="E45" t="s">
        <v>1</v>
      </c>
    </row>
    <row r="46" spans="1:5">
      <c r="A46">
        <v>44</v>
      </c>
      <c r="B46">
        <v>11411.8</v>
      </c>
      <c r="C46">
        <f t="shared" si="0"/>
        <v>25336.600000000002</v>
      </c>
      <c r="D46">
        <v>36748.400000000001</v>
      </c>
      <c r="E46" t="s">
        <v>1</v>
      </c>
    </row>
    <row r="47" spans="1:5">
      <c r="A47">
        <v>45</v>
      </c>
      <c r="B47">
        <v>6640.7</v>
      </c>
      <c r="C47">
        <f t="shared" si="0"/>
        <v>11330.899999999998</v>
      </c>
      <c r="D47">
        <v>17971.599999999999</v>
      </c>
      <c r="E47" t="s">
        <v>1</v>
      </c>
    </row>
    <row r="48" spans="1:5">
      <c r="A48">
        <v>46</v>
      </c>
      <c r="B48">
        <v>14876.3</v>
      </c>
      <c r="C48">
        <f t="shared" si="0"/>
        <v>13121</v>
      </c>
      <c r="D48">
        <v>27997.3</v>
      </c>
      <c r="E48" t="s">
        <v>1</v>
      </c>
    </row>
    <row r="49" spans="1:6">
      <c r="A49">
        <v>47</v>
      </c>
      <c r="B49">
        <v>13333.7</v>
      </c>
      <c r="C49">
        <f t="shared" si="0"/>
        <v>47934.100000000006</v>
      </c>
      <c r="D49">
        <v>61267.8</v>
      </c>
      <c r="E49" t="s">
        <v>1</v>
      </c>
    </row>
    <row r="50" spans="1:6">
      <c r="A50">
        <v>48</v>
      </c>
      <c r="B50">
        <v>7148.1</v>
      </c>
      <c r="C50">
        <f t="shared" si="0"/>
        <v>7526.9</v>
      </c>
      <c r="D50">
        <v>14675</v>
      </c>
      <c r="E50" t="s">
        <v>0</v>
      </c>
    </row>
    <row r="51" spans="1:6">
      <c r="A51">
        <v>49</v>
      </c>
      <c r="B51">
        <v>9798.4</v>
      </c>
      <c r="C51">
        <f t="shared" si="0"/>
        <v>18812.900000000001</v>
      </c>
      <c r="D51">
        <v>28611.3</v>
      </c>
      <c r="E51" t="s">
        <v>1</v>
      </c>
    </row>
    <row r="52" spans="1:6">
      <c r="A52">
        <v>50</v>
      </c>
      <c r="B52">
        <v>8155.9</v>
      </c>
      <c r="C52">
        <f t="shared" si="0"/>
        <v>15691.000000000002</v>
      </c>
      <c r="D52">
        <v>23846.9</v>
      </c>
      <c r="E52" t="s">
        <v>1</v>
      </c>
    </row>
    <row r="53" spans="1:6">
      <c r="A53" s="3" t="s">
        <v>5</v>
      </c>
      <c r="B53">
        <f>AVERAGE(B3:B52)</f>
        <v>8458.5580000000009</v>
      </c>
      <c r="C53">
        <f>AVERAGE(C3:C52)</f>
        <v>15374.209999999997</v>
      </c>
      <c r="D53">
        <f>AVERAGE(D3:D52)</f>
        <v>23832.768000000004</v>
      </c>
    </row>
    <row r="57" spans="1:6">
      <c r="A57" s="21" t="s">
        <v>10</v>
      </c>
      <c r="B57" s="22"/>
      <c r="C57" s="22"/>
      <c r="D57" s="22"/>
      <c r="E57" s="22"/>
      <c r="F57" s="22"/>
    </row>
    <row r="58" spans="1:6">
      <c r="A58" s="3" t="s">
        <v>11</v>
      </c>
      <c r="B58" s="3" t="s">
        <v>12</v>
      </c>
      <c r="C58" s="3" t="s">
        <v>14</v>
      </c>
      <c r="D58" s="3" t="s">
        <v>13</v>
      </c>
      <c r="E58" s="3" t="s">
        <v>15</v>
      </c>
      <c r="F58" s="5" t="s">
        <v>137</v>
      </c>
    </row>
    <row r="59" spans="1:6">
      <c r="A59">
        <v>21</v>
      </c>
      <c r="B59">
        <v>23</v>
      </c>
      <c r="C59">
        <v>5</v>
      </c>
      <c r="D59">
        <v>1</v>
      </c>
      <c r="E59">
        <v>50</v>
      </c>
      <c r="F59" s="1">
        <v>0.88</v>
      </c>
    </row>
  </sheetData>
  <mergeCells count="1">
    <mergeCell ref="A57:F57"/>
  </mergeCells>
  <phoneticPr fontId="5"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209D-0498-4685-8712-41924D47AFDF}">
  <dimension ref="A1:R55"/>
  <sheetViews>
    <sheetView tabSelected="1" topLeftCell="A40" workbookViewId="0">
      <selection activeCell="C41" sqref="C41"/>
    </sheetView>
  </sheetViews>
  <sheetFormatPr defaultRowHeight="14"/>
  <sheetData>
    <row r="1" spans="1:18" ht="22.5">
      <c r="A1" s="27"/>
      <c r="B1" s="27" t="s">
        <v>129</v>
      </c>
      <c r="C1" s="27" t="s">
        <v>130</v>
      </c>
      <c r="D1" s="27" t="s">
        <v>128</v>
      </c>
      <c r="E1" s="42" t="s">
        <v>127</v>
      </c>
      <c r="F1" s="45" t="s">
        <v>108</v>
      </c>
      <c r="G1" s="45"/>
      <c r="H1" s="45"/>
      <c r="I1" s="45"/>
      <c r="J1" s="45"/>
      <c r="K1" s="45"/>
      <c r="L1" s="45"/>
      <c r="M1" s="45"/>
      <c r="N1" s="45"/>
      <c r="O1" s="45"/>
      <c r="P1" s="45"/>
      <c r="Q1" s="45"/>
      <c r="R1" s="27" t="s">
        <v>125</v>
      </c>
    </row>
    <row r="2" spans="1:18" ht="22.5">
      <c r="A2" s="28"/>
      <c r="B2" s="28"/>
      <c r="C2" s="28"/>
      <c r="D2" s="28"/>
      <c r="E2" s="43"/>
      <c r="F2" s="30" t="s">
        <v>109</v>
      </c>
      <c r="G2" s="31"/>
      <c r="H2" s="31"/>
      <c r="I2" s="31"/>
      <c r="J2" s="31"/>
      <c r="K2" s="31"/>
      <c r="L2" s="31"/>
      <c r="M2" s="31"/>
      <c r="N2" s="32"/>
      <c r="O2" s="33" t="s">
        <v>110</v>
      </c>
      <c r="P2" s="34"/>
      <c r="Q2" s="35"/>
      <c r="R2" s="28"/>
    </row>
    <row r="3" spans="1:18" ht="16.5">
      <c r="A3" s="28"/>
      <c r="B3" s="28"/>
      <c r="C3" s="28"/>
      <c r="D3" s="28"/>
      <c r="E3" s="43"/>
      <c r="F3" s="39" t="s">
        <v>111</v>
      </c>
      <c r="G3" s="39"/>
      <c r="H3" s="39"/>
      <c r="I3" s="40" t="s">
        <v>112</v>
      </c>
      <c r="J3" s="40"/>
      <c r="K3" s="40"/>
      <c r="L3" s="41" t="s">
        <v>113</v>
      </c>
      <c r="M3" s="41"/>
      <c r="N3" s="41"/>
      <c r="O3" s="36"/>
      <c r="P3" s="37"/>
      <c r="Q3" s="38"/>
      <c r="R3" s="28"/>
    </row>
    <row r="4" spans="1:18" ht="115.5">
      <c r="A4" s="29"/>
      <c r="B4" s="29"/>
      <c r="C4" s="29"/>
      <c r="D4" s="29"/>
      <c r="E4" s="44"/>
      <c r="F4" s="6" t="s">
        <v>114</v>
      </c>
      <c r="G4" s="6" t="s">
        <v>115</v>
      </c>
      <c r="H4" s="6" t="s">
        <v>116</v>
      </c>
      <c r="I4" s="7" t="s">
        <v>117</v>
      </c>
      <c r="J4" s="7" t="s">
        <v>126</v>
      </c>
      <c r="K4" s="7" t="s">
        <v>118</v>
      </c>
      <c r="L4" s="8" t="s">
        <v>119</v>
      </c>
      <c r="M4" s="8" t="s">
        <v>120</v>
      </c>
      <c r="N4" s="8" t="s">
        <v>121</v>
      </c>
      <c r="O4" s="9" t="s">
        <v>122</v>
      </c>
      <c r="P4" s="9" t="s">
        <v>123</v>
      </c>
      <c r="Q4" s="9" t="s">
        <v>124</v>
      </c>
      <c r="R4" s="29"/>
    </row>
    <row r="5" spans="1:18" ht="409.5">
      <c r="A5" s="23" t="s">
        <v>131</v>
      </c>
      <c r="B5" s="10">
        <v>1</v>
      </c>
      <c r="C5" s="11" t="s">
        <v>16</v>
      </c>
      <c r="D5" s="12" t="s">
        <v>17</v>
      </c>
      <c r="E5" s="13">
        <v>9</v>
      </c>
      <c r="F5" s="14"/>
      <c r="G5" s="14"/>
      <c r="H5" s="14"/>
      <c r="I5" s="15"/>
      <c r="J5" s="15"/>
      <c r="K5" s="15"/>
      <c r="L5" s="16"/>
      <c r="M5" s="16"/>
      <c r="N5" s="16"/>
      <c r="O5" s="17"/>
      <c r="P5" s="17"/>
      <c r="Q5" s="17"/>
      <c r="R5" s="18" t="s">
        <v>105</v>
      </c>
    </row>
    <row r="6" spans="1:18" ht="409.5">
      <c r="A6" s="23"/>
      <c r="B6" s="10">
        <v>2</v>
      </c>
      <c r="C6" s="12" t="s">
        <v>18</v>
      </c>
      <c r="D6" s="12" t="s">
        <v>19</v>
      </c>
      <c r="E6" s="13">
        <v>7</v>
      </c>
      <c r="F6" s="14"/>
      <c r="G6" s="14"/>
      <c r="H6" s="14"/>
      <c r="I6" s="15"/>
      <c r="J6" s="15"/>
      <c r="K6" s="15"/>
      <c r="L6" s="16"/>
      <c r="M6" s="16"/>
      <c r="N6" s="16"/>
      <c r="O6" s="17"/>
      <c r="P6" s="17"/>
      <c r="Q6" s="17"/>
      <c r="R6" s="18" t="s">
        <v>105</v>
      </c>
    </row>
    <row r="7" spans="1:18" ht="409.5">
      <c r="A7" s="23"/>
      <c r="B7" s="10">
        <v>3</v>
      </c>
      <c r="C7" s="12" t="s">
        <v>20</v>
      </c>
      <c r="D7" s="12" t="s">
        <v>21</v>
      </c>
      <c r="E7" s="13">
        <v>10</v>
      </c>
      <c r="F7" s="14"/>
      <c r="G7" s="14"/>
      <c r="H7" s="14"/>
      <c r="I7" s="15"/>
      <c r="J7" s="15"/>
      <c r="K7" s="15"/>
      <c r="L7" s="16"/>
      <c r="M7" s="16"/>
      <c r="N7" s="16"/>
      <c r="O7" s="17"/>
      <c r="P7" s="17"/>
      <c r="Q7" s="17"/>
      <c r="R7" s="18" t="s">
        <v>105</v>
      </c>
    </row>
    <row r="8" spans="1:18" ht="409.5">
      <c r="A8" s="23"/>
      <c r="B8" s="10">
        <v>4</v>
      </c>
      <c r="C8" s="12" t="s">
        <v>22</v>
      </c>
      <c r="D8" s="12" t="s">
        <v>23</v>
      </c>
      <c r="E8" s="13">
        <v>4</v>
      </c>
      <c r="F8" s="14"/>
      <c r="G8" s="14"/>
      <c r="H8" s="14"/>
      <c r="I8" s="15"/>
      <c r="J8" s="15"/>
      <c r="K8" s="15"/>
      <c r="L8" s="16"/>
      <c r="M8" s="16"/>
      <c r="N8" s="16"/>
      <c r="O8" s="17"/>
      <c r="P8" s="17"/>
      <c r="Q8" s="17"/>
      <c r="R8" s="18" t="s">
        <v>105</v>
      </c>
    </row>
    <row r="9" spans="1:18" ht="409.5">
      <c r="A9" s="23"/>
      <c r="B9" s="10">
        <v>5</v>
      </c>
      <c r="C9" s="12" t="s">
        <v>24</v>
      </c>
      <c r="D9" s="12" t="s">
        <v>25</v>
      </c>
      <c r="E9" s="13">
        <v>7</v>
      </c>
      <c r="F9" s="14"/>
      <c r="G9" s="14"/>
      <c r="H9" s="14"/>
      <c r="I9" s="15"/>
      <c r="J9" s="15">
        <v>1</v>
      </c>
      <c r="K9" s="15"/>
      <c r="L9" s="16"/>
      <c r="M9" s="16"/>
      <c r="N9" s="16"/>
      <c r="O9" s="17"/>
      <c r="P9" s="17"/>
      <c r="Q9" s="17"/>
      <c r="R9" s="18" t="s">
        <v>106</v>
      </c>
    </row>
    <row r="10" spans="1:18" ht="409.5">
      <c r="A10" s="23"/>
      <c r="B10" s="10">
        <v>6</v>
      </c>
      <c r="C10" s="12" t="s">
        <v>26</v>
      </c>
      <c r="D10" s="12" t="s">
        <v>27</v>
      </c>
      <c r="E10" s="13">
        <v>4</v>
      </c>
      <c r="F10" s="14"/>
      <c r="G10" s="14"/>
      <c r="H10" s="14"/>
      <c r="I10" s="15"/>
      <c r="J10" s="15"/>
      <c r="K10" s="15"/>
      <c r="L10" s="16"/>
      <c r="M10" s="16"/>
      <c r="N10" s="16"/>
      <c r="O10" s="17"/>
      <c r="P10" s="17"/>
      <c r="Q10" s="17"/>
      <c r="R10" s="18" t="s">
        <v>105</v>
      </c>
    </row>
    <row r="11" spans="1:18" ht="409.5">
      <c r="A11" s="23"/>
      <c r="B11" s="10">
        <v>7</v>
      </c>
      <c r="C11" s="12" t="s">
        <v>28</v>
      </c>
      <c r="D11" s="12" t="s">
        <v>29</v>
      </c>
      <c r="E11" s="13">
        <v>3</v>
      </c>
      <c r="F11" s="14"/>
      <c r="G11" s="14"/>
      <c r="H11" s="14"/>
      <c r="I11" s="15"/>
      <c r="J11" s="15"/>
      <c r="K11" s="15"/>
      <c r="L11" s="16"/>
      <c r="M11" s="16"/>
      <c r="N11" s="16"/>
      <c r="O11" s="17"/>
      <c r="P11" s="17"/>
      <c r="Q11" s="17"/>
      <c r="R11" s="18" t="s">
        <v>105</v>
      </c>
    </row>
    <row r="12" spans="1:18" ht="409.5">
      <c r="A12" s="23"/>
      <c r="B12" s="10">
        <v>8</v>
      </c>
      <c r="C12" s="12" t="s">
        <v>30</v>
      </c>
      <c r="D12" s="12" t="s">
        <v>31</v>
      </c>
      <c r="E12" s="13">
        <v>8</v>
      </c>
      <c r="F12" s="14"/>
      <c r="G12" s="14"/>
      <c r="H12" s="14"/>
      <c r="I12" s="15"/>
      <c r="J12" s="15"/>
      <c r="K12" s="15"/>
      <c r="L12" s="16"/>
      <c r="M12" s="16"/>
      <c r="N12" s="16"/>
      <c r="O12" s="17"/>
      <c r="P12" s="17"/>
      <c r="Q12" s="17"/>
      <c r="R12" s="18" t="s">
        <v>105</v>
      </c>
    </row>
    <row r="13" spans="1:18" ht="409.5">
      <c r="A13" s="23"/>
      <c r="B13" s="10">
        <v>9</v>
      </c>
      <c r="C13" s="12" t="s">
        <v>32</v>
      </c>
      <c r="D13" s="12" t="s">
        <v>33</v>
      </c>
      <c r="E13" s="13">
        <v>6</v>
      </c>
      <c r="F13" s="14"/>
      <c r="G13" s="14"/>
      <c r="H13" s="14"/>
      <c r="I13" s="15"/>
      <c r="J13" s="15"/>
      <c r="K13" s="15"/>
      <c r="L13" s="16"/>
      <c r="M13" s="16"/>
      <c r="N13" s="16"/>
      <c r="O13" s="17"/>
      <c r="P13" s="17"/>
      <c r="Q13" s="17"/>
      <c r="R13" s="18" t="s">
        <v>105</v>
      </c>
    </row>
    <row r="14" spans="1:18" ht="409.5">
      <c r="A14" s="23"/>
      <c r="B14" s="10">
        <v>10</v>
      </c>
      <c r="C14" s="12" t="s">
        <v>34</v>
      </c>
      <c r="D14" s="12" t="s">
        <v>35</v>
      </c>
      <c r="E14" s="13">
        <v>4</v>
      </c>
      <c r="F14" s="14">
        <v>1</v>
      </c>
      <c r="G14" s="14"/>
      <c r="H14" s="14"/>
      <c r="I14" s="15"/>
      <c r="J14" s="15"/>
      <c r="K14" s="15"/>
      <c r="L14" s="16"/>
      <c r="M14" s="16"/>
      <c r="N14" s="16"/>
      <c r="O14" s="17"/>
      <c r="P14" s="17"/>
      <c r="Q14" s="17"/>
      <c r="R14" s="18" t="s">
        <v>106</v>
      </c>
    </row>
    <row r="15" spans="1:18" ht="409.5">
      <c r="A15" s="23"/>
      <c r="B15" s="10">
        <v>11</v>
      </c>
      <c r="C15" s="12" t="s">
        <v>36</v>
      </c>
      <c r="D15" s="12" t="s">
        <v>37</v>
      </c>
      <c r="E15" s="13">
        <v>6</v>
      </c>
      <c r="F15" s="14"/>
      <c r="G15" s="14"/>
      <c r="H15" s="14"/>
      <c r="I15" s="15"/>
      <c r="J15" s="15"/>
      <c r="K15" s="15"/>
      <c r="L15" s="16"/>
      <c r="M15" s="16"/>
      <c r="N15" s="16"/>
      <c r="O15" s="17"/>
      <c r="P15" s="17"/>
      <c r="Q15" s="17"/>
      <c r="R15" s="18" t="s">
        <v>105</v>
      </c>
    </row>
    <row r="16" spans="1:18" ht="409.5">
      <c r="A16" s="23"/>
      <c r="B16" s="10">
        <v>12</v>
      </c>
      <c r="C16" s="12" t="s">
        <v>38</v>
      </c>
      <c r="D16" s="12" t="s">
        <v>39</v>
      </c>
      <c r="E16" s="13">
        <v>3</v>
      </c>
      <c r="F16" s="14"/>
      <c r="G16" s="14"/>
      <c r="H16" s="14"/>
      <c r="I16" s="15"/>
      <c r="J16" s="15"/>
      <c r="K16" s="15"/>
      <c r="L16" s="16"/>
      <c r="M16" s="16"/>
      <c r="N16" s="16"/>
      <c r="O16" s="17"/>
      <c r="P16" s="17"/>
      <c r="Q16" s="17"/>
      <c r="R16" s="18" t="s">
        <v>105</v>
      </c>
    </row>
    <row r="17" spans="1:18" ht="409.5">
      <c r="A17" s="23"/>
      <c r="B17" s="10">
        <v>13</v>
      </c>
      <c r="C17" s="12" t="s">
        <v>40</v>
      </c>
      <c r="D17" s="12" t="s">
        <v>41</v>
      </c>
      <c r="E17" s="13">
        <v>4</v>
      </c>
      <c r="F17" s="14"/>
      <c r="G17" s="14"/>
      <c r="H17" s="14"/>
      <c r="I17" s="15"/>
      <c r="J17" s="15"/>
      <c r="K17" s="15"/>
      <c r="L17" s="16"/>
      <c r="M17" s="16"/>
      <c r="N17" s="16"/>
      <c r="O17" s="17"/>
      <c r="P17" s="17"/>
      <c r="Q17" s="17"/>
      <c r="R17" s="18" t="s">
        <v>105</v>
      </c>
    </row>
    <row r="18" spans="1:18" ht="409.5">
      <c r="A18" s="23"/>
      <c r="B18" s="10">
        <v>14</v>
      </c>
      <c r="C18" s="12" t="s">
        <v>42</v>
      </c>
      <c r="D18" s="12" t="s">
        <v>43</v>
      </c>
      <c r="E18" s="13">
        <v>8</v>
      </c>
      <c r="F18" s="14"/>
      <c r="G18" s="14"/>
      <c r="H18" s="14"/>
      <c r="I18" s="15"/>
      <c r="J18" s="15"/>
      <c r="K18" s="15"/>
      <c r="L18" s="16"/>
      <c r="M18" s="16"/>
      <c r="N18" s="16"/>
      <c r="O18" s="17"/>
      <c r="P18" s="17"/>
      <c r="Q18" s="17"/>
      <c r="R18" s="18" t="s">
        <v>105</v>
      </c>
    </row>
    <row r="19" spans="1:18" ht="409.5">
      <c r="A19" s="23"/>
      <c r="B19" s="10">
        <v>15</v>
      </c>
      <c r="C19" s="12" t="s">
        <v>44</v>
      </c>
      <c r="D19" s="12" t="s">
        <v>45</v>
      </c>
      <c r="E19" s="13">
        <v>5</v>
      </c>
      <c r="F19" s="14"/>
      <c r="G19" s="14"/>
      <c r="H19" s="14"/>
      <c r="I19" s="15"/>
      <c r="J19" s="15"/>
      <c r="K19" s="15"/>
      <c r="L19" s="16"/>
      <c r="M19" s="16"/>
      <c r="N19" s="16"/>
      <c r="O19" s="17"/>
      <c r="P19" s="17"/>
      <c r="Q19" s="17"/>
      <c r="R19" s="18" t="s">
        <v>105</v>
      </c>
    </row>
    <row r="20" spans="1:18" ht="409.5">
      <c r="A20" s="23"/>
      <c r="B20" s="10">
        <v>16</v>
      </c>
      <c r="C20" s="12" t="s">
        <v>46</v>
      </c>
      <c r="D20" s="12" t="s">
        <v>47</v>
      </c>
      <c r="E20" s="13">
        <v>5</v>
      </c>
      <c r="F20" s="14"/>
      <c r="G20" s="14"/>
      <c r="H20" s="14"/>
      <c r="I20" s="15"/>
      <c r="J20" s="15"/>
      <c r="K20" s="15"/>
      <c r="L20" s="16"/>
      <c r="M20" s="16"/>
      <c r="N20" s="16"/>
      <c r="O20" s="17"/>
      <c r="P20" s="17"/>
      <c r="Q20" s="17"/>
      <c r="R20" s="18" t="s">
        <v>105</v>
      </c>
    </row>
    <row r="21" spans="1:18" ht="409.5">
      <c r="A21" s="23" t="s">
        <v>132</v>
      </c>
      <c r="B21" s="10">
        <v>1</v>
      </c>
      <c r="C21" s="12" t="s">
        <v>48</v>
      </c>
      <c r="D21" s="12" t="s">
        <v>49</v>
      </c>
      <c r="E21" s="13">
        <v>7</v>
      </c>
      <c r="F21" s="14"/>
      <c r="G21" s="14"/>
      <c r="H21" s="14"/>
      <c r="I21" s="15"/>
      <c r="J21" s="15"/>
      <c r="K21" s="15"/>
      <c r="L21" s="16"/>
      <c r="M21" s="16"/>
      <c r="N21" s="16"/>
      <c r="O21" s="17"/>
      <c r="P21" s="17"/>
      <c r="Q21" s="17"/>
      <c r="R21" s="18" t="s">
        <v>105</v>
      </c>
    </row>
    <row r="22" spans="1:18" ht="409.5">
      <c r="A22" s="23"/>
      <c r="B22" s="10">
        <v>2</v>
      </c>
      <c r="C22" s="12" t="s">
        <v>50</v>
      </c>
      <c r="D22" s="12" t="s">
        <v>51</v>
      </c>
      <c r="E22" s="13">
        <v>11</v>
      </c>
      <c r="F22" s="14"/>
      <c r="G22" s="14"/>
      <c r="H22" s="14"/>
      <c r="I22" s="15"/>
      <c r="J22" s="15"/>
      <c r="K22" s="15"/>
      <c r="L22" s="16"/>
      <c r="M22" s="16"/>
      <c r="N22" s="16"/>
      <c r="O22" s="17"/>
      <c r="P22" s="17"/>
      <c r="Q22" s="17"/>
      <c r="R22" s="18" t="s">
        <v>105</v>
      </c>
    </row>
    <row r="23" spans="1:18" ht="409.5">
      <c r="A23" s="23"/>
      <c r="B23" s="10">
        <v>3</v>
      </c>
      <c r="C23" s="12" t="s">
        <v>20</v>
      </c>
      <c r="D23" s="12" t="s">
        <v>52</v>
      </c>
      <c r="E23" s="13">
        <v>5</v>
      </c>
      <c r="F23" s="14"/>
      <c r="G23" s="14"/>
      <c r="H23" s="14"/>
      <c r="I23" s="15"/>
      <c r="J23" s="15"/>
      <c r="K23" s="15"/>
      <c r="L23" s="16"/>
      <c r="M23" s="16">
        <v>2</v>
      </c>
      <c r="N23" s="16"/>
      <c r="O23" s="17"/>
      <c r="P23" s="17"/>
      <c r="Q23" s="17"/>
      <c r="R23" s="18" t="s">
        <v>106</v>
      </c>
    </row>
    <row r="24" spans="1:18" ht="409.5">
      <c r="A24" s="23"/>
      <c r="B24" s="10">
        <v>4</v>
      </c>
      <c r="C24" s="12" t="s">
        <v>22</v>
      </c>
      <c r="D24" s="12" t="s">
        <v>53</v>
      </c>
      <c r="E24" s="13">
        <v>8</v>
      </c>
      <c r="F24" s="14"/>
      <c r="G24" s="14"/>
      <c r="H24" s="14"/>
      <c r="I24" s="15"/>
      <c r="J24" s="15"/>
      <c r="K24" s="15"/>
      <c r="L24" s="16"/>
      <c r="M24" s="16"/>
      <c r="N24" s="16"/>
      <c r="O24" s="17"/>
      <c r="P24" s="17"/>
      <c r="Q24" s="17"/>
      <c r="R24" s="18" t="s">
        <v>105</v>
      </c>
    </row>
    <row r="25" spans="1:18" ht="409.5">
      <c r="A25" s="23"/>
      <c r="B25" s="10">
        <v>5</v>
      </c>
      <c r="C25" s="12" t="s">
        <v>24</v>
      </c>
      <c r="D25" s="12" t="s">
        <v>54</v>
      </c>
      <c r="E25" s="13">
        <v>13</v>
      </c>
      <c r="F25" s="14"/>
      <c r="G25" s="14"/>
      <c r="H25" s="14"/>
      <c r="I25" s="15"/>
      <c r="J25" s="15"/>
      <c r="K25" s="15"/>
      <c r="L25" s="16"/>
      <c r="M25" s="16"/>
      <c r="N25" s="16"/>
      <c r="O25" s="17"/>
      <c r="P25" s="17"/>
      <c r="Q25" s="17"/>
      <c r="R25" s="18" t="s">
        <v>105</v>
      </c>
    </row>
    <row r="26" spans="1:18" ht="409.5">
      <c r="A26" s="23"/>
      <c r="B26" s="10">
        <v>6</v>
      </c>
      <c r="C26" s="12" t="s">
        <v>26</v>
      </c>
      <c r="D26" s="12" t="s">
        <v>55</v>
      </c>
      <c r="E26" s="13">
        <v>7</v>
      </c>
      <c r="F26" s="14"/>
      <c r="G26" s="14"/>
      <c r="H26" s="14"/>
      <c r="I26" s="15"/>
      <c r="J26" s="15">
        <v>1</v>
      </c>
      <c r="K26" s="15"/>
      <c r="L26" s="16"/>
      <c r="M26" s="16">
        <v>1</v>
      </c>
      <c r="N26" s="16"/>
      <c r="O26" s="17"/>
      <c r="P26" s="17">
        <v>1</v>
      </c>
      <c r="Q26" s="17"/>
      <c r="R26" s="18" t="s">
        <v>136</v>
      </c>
    </row>
    <row r="27" spans="1:18" ht="409.5">
      <c r="A27" s="23"/>
      <c r="B27" s="10">
        <v>7</v>
      </c>
      <c r="C27" s="12" t="s">
        <v>56</v>
      </c>
      <c r="D27" s="12" t="s">
        <v>57</v>
      </c>
      <c r="E27" s="13">
        <v>17</v>
      </c>
      <c r="F27" s="14"/>
      <c r="G27" s="14"/>
      <c r="H27" s="14"/>
      <c r="I27" s="15"/>
      <c r="J27" s="15"/>
      <c r="K27" s="15"/>
      <c r="L27" s="16"/>
      <c r="M27" s="16"/>
      <c r="N27" s="16"/>
      <c r="O27" s="17"/>
      <c r="P27" s="17"/>
      <c r="Q27" s="17"/>
      <c r="R27" s="18" t="s">
        <v>105</v>
      </c>
    </row>
    <row r="28" spans="1:18" ht="409.5">
      <c r="A28" s="23"/>
      <c r="B28" s="10">
        <v>8</v>
      </c>
      <c r="C28" s="12" t="s">
        <v>58</v>
      </c>
      <c r="D28" s="12" t="s">
        <v>59</v>
      </c>
      <c r="E28" s="13">
        <v>12</v>
      </c>
      <c r="F28" s="14"/>
      <c r="G28" s="14"/>
      <c r="H28" s="14"/>
      <c r="I28" s="15"/>
      <c r="J28" s="15"/>
      <c r="K28" s="15"/>
      <c r="L28" s="16"/>
      <c r="M28" s="16"/>
      <c r="N28" s="16"/>
      <c r="O28" s="17"/>
      <c r="P28" s="17"/>
      <c r="Q28" s="17"/>
      <c r="R28" s="18" t="s">
        <v>105</v>
      </c>
    </row>
    <row r="29" spans="1:18" ht="409.5">
      <c r="A29" s="23"/>
      <c r="B29" s="10">
        <v>9</v>
      </c>
      <c r="C29" s="11" t="s">
        <v>60</v>
      </c>
      <c r="D29" s="12" t="s">
        <v>61</v>
      </c>
      <c r="E29" s="13">
        <v>10</v>
      </c>
      <c r="F29" s="14"/>
      <c r="G29" s="14"/>
      <c r="H29" s="14"/>
      <c r="I29" s="15"/>
      <c r="J29" s="15"/>
      <c r="K29" s="15"/>
      <c r="L29" s="16"/>
      <c r="M29" s="16"/>
      <c r="N29" s="16"/>
      <c r="O29" s="17"/>
      <c r="P29" s="17"/>
      <c r="Q29" s="17"/>
      <c r="R29" s="18" t="s">
        <v>105</v>
      </c>
    </row>
    <row r="30" spans="1:18" ht="409.5">
      <c r="A30" s="23"/>
      <c r="B30" s="10">
        <v>10</v>
      </c>
      <c r="C30" s="12" t="s">
        <v>62</v>
      </c>
      <c r="D30" s="12" t="s">
        <v>63</v>
      </c>
      <c r="E30" s="13">
        <v>8</v>
      </c>
      <c r="F30" s="14"/>
      <c r="G30" s="14"/>
      <c r="H30" s="14"/>
      <c r="I30" s="15"/>
      <c r="J30" s="15"/>
      <c r="K30" s="15"/>
      <c r="L30" s="16"/>
      <c r="M30" s="16"/>
      <c r="N30" s="16"/>
      <c r="O30" s="17"/>
      <c r="P30" s="17"/>
      <c r="Q30" s="17"/>
      <c r="R30" s="18" t="s">
        <v>105</v>
      </c>
    </row>
    <row r="31" spans="1:18" ht="409.5">
      <c r="A31" s="23"/>
      <c r="B31" s="10">
        <v>11</v>
      </c>
      <c r="C31" s="12" t="s">
        <v>64</v>
      </c>
      <c r="D31" s="12" t="s">
        <v>65</v>
      </c>
      <c r="E31" s="13">
        <v>14</v>
      </c>
      <c r="F31" s="14"/>
      <c r="G31" s="14"/>
      <c r="H31" s="14"/>
      <c r="I31" s="15"/>
      <c r="J31" s="15">
        <v>1</v>
      </c>
      <c r="K31" s="15"/>
      <c r="L31" s="16"/>
      <c r="M31" s="16"/>
      <c r="N31" s="16"/>
      <c r="O31" s="17"/>
      <c r="P31" s="17"/>
      <c r="Q31" s="17"/>
      <c r="R31" s="18" t="s">
        <v>106</v>
      </c>
    </row>
    <row r="32" spans="1:18" ht="409.5">
      <c r="A32" s="23"/>
      <c r="B32" s="10">
        <v>12</v>
      </c>
      <c r="C32" s="12" t="s">
        <v>66</v>
      </c>
      <c r="D32" s="12" t="s">
        <v>67</v>
      </c>
      <c r="E32" s="13">
        <v>8</v>
      </c>
      <c r="F32" s="14"/>
      <c r="G32" s="14"/>
      <c r="H32" s="14"/>
      <c r="I32" s="15"/>
      <c r="J32" s="15"/>
      <c r="K32" s="15"/>
      <c r="L32" s="16"/>
      <c r="M32" s="16"/>
      <c r="N32" s="16"/>
      <c r="O32" s="17"/>
      <c r="P32" s="17"/>
      <c r="Q32" s="17"/>
      <c r="R32" s="18" t="s">
        <v>105</v>
      </c>
    </row>
    <row r="33" spans="1:18" ht="409.5">
      <c r="A33" s="23"/>
      <c r="B33" s="10">
        <v>13</v>
      </c>
      <c r="C33" s="12" t="s">
        <v>68</v>
      </c>
      <c r="D33" s="12" t="s">
        <v>69</v>
      </c>
      <c r="E33" s="13">
        <v>6</v>
      </c>
      <c r="F33" s="14">
        <v>1</v>
      </c>
      <c r="G33" s="14"/>
      <c r="H33" s="14"/>
      <c r="I33" s="15"/>
      <c r="J33" s="15"/>
      <c r="K33" s="15"/>
      <c r="L33" s="16"/>
      <c r="M33" s="16"/>
      <c r="N33" s="16"/>
      <c r="O33" s="17"/>
      <c r="P33" s="17"/>
      <c r="Q33" s="17"/>
      <c r="R33" s="18" t="s">
        <v>106</v>
      </c>
    </row>
    <row r="34" spans="1:18" ht="409.5">
      <c r="A34" s="23"/>
      <c r="B34" s="10">
        <v>14</v>
      </c>
      <c r="C34" s="12" t="s">
        <v>70</v>
      </c>
      <c r="D34" s="12" t="s">
        <v>71</v>
      </c>
      <c r="E34" s="13">
        <v>9</v>
      </c>
      <c r="F34" s="14"/>
      <c r="G34" s="14"/>
      <c r="H34" s="14"/>
      <c r="I34" s="15"/>
      <c r="J34" s="15"/>
      <c r="K34" s="15"/>
      <c r="L34" s="16"/>
      <c r="M34" s="16"/>
      <c r="N34" s="16"/>
      <c r="O34" s="17"/>
      <c r="P34" s="17"/>
      <c r="Q34" s="17"/>
      <c r="R34" s="18" t="s">
        <v>105</v>
      </c>
    </row>
    <row r="35" spans="1:18" ht="409.5">
      <c r="A35" s="23"/>
      <c r="B35" s="10">
        <v>15</v>
      </c>
      <c r="C35" s="12" t="s">
        <v>72</v>
      </c>
      <c r="D35" s="12" t="s">
        <v>73</v>
      </c>
      <c r="E35" s="13">
        <v>8</v>
      </c>
      <c r="F35" s="14"/>
      <c r="G35" s="14"/>
      <c r="H35" s="14"/>
      <c r="I35" s="15"/>
      <c r="J35" s="15"/>
      <c r="K35" s="15"/>
      <c r="L35" s="16"/>
      <c r="M35" s="16"/>
      <c r="N35" s="16"/>
      <c r="O35" s="17"/>
      <c r="P35" s="17"/>
      <c r="Q35" s="17"/>
      <c r="R35" s="18" t="s">
        <v>105</v>
      </c>
    </row>
    <row r="36" spans="1:18" ht="409.5">
      <c r="A36" s="23"/>
      <c r="B36" s="10">
        <v>16</v>
      </c>
      <c r="C36" s="12" t="s">
        <v>74</v>
      </c>
      <c r="D36" s="12" t="s">
        <v>75</v>
      </c>
      <c r="E36" s="13">
        <v>9</v>
      </c>
      <c r="F36" s="14"/>
      <c r="G36" s="14"/>
      <c r="H36" s="14"/>
      <c r="I36" s="15"/>
      <c r="J36" s="15"/>
      <c r="K36" s="15"/>
      <c r="L36" s="16"/>
      <c r="M36" s="16"/>
      <c r="N36" s="16"/>
      <c r="O36" s="17"/>
      <c r="P36" s="17"/>
      <c r="Q36" s="17"/>
      <c r="R36" s="18" t="s">
        <v>105</v>
      </c>
    </row>
    <row r="37" spans="1:18" ht="409.5">
      <c r="A37" s="23" t="s">
        <v>133</v>
      </c>
      <c r="B37" s="10">
        <v>1</v>
      </c>
      <c r="C37" s="11" t="s">
        <v>76</v>
      </c>
      <c r="D37" s="12" t="s">
        <v>77</v>
      </c>
      <c r="E37" s="13">
        <v>13</v>
      </c>
      <c r="F37" s="14"/>
      <c r="G37" s="14"/>
      <c r="H37" s="14"/>
      <c r="I37" s="15"/>
      <c r="J37" s="15"/>
      <c r="K37" s="15"/>
      <c r="L37" s="16"/>
      <c r="M37" s="16"/>
      <c r="N37" s="16"/>
      <c r="O37" s="17">
        <v>1</v>
      </c>
      <c r="P37" s="17">
        <v>1</v>
      </c>
      <c r="Q37" s="17"/>
      <c r="R37" s="18" t="s">
        <v>107</v>
      </c>
    </row>
    <row r="38" spans="1:18" ht="409.5">
      <c r="A38" s="23"/>
      <c r="B38" s="10">
        <v>2</v>
      </c>
      <c r="C38" s="11" t="s">
        <v>78</v>
      </c>
      <c r="D38" s="12" t="s">
        <v>79</v>
      </c>
      <c r="E38" s="13">
        <v>18</v>
      </c>
      <c r="F38" s="14"/>
      <c r="G38" s="14"/>
      <c r="H38" s="14"/>
      <c r="I38" s="15"/>
      <c r="J38" s="15"/>
      <c r="K38" s="15"/>
      <c r="L38" s="16"/>
      <c r="M38" s="16"/>
      <c r="N38" s="16"/>
      <c r="O38" s="17"/>
      <c r="P38" s="17"/>
      <c r="Q38" s="17"/>
      <c r="R38" s="18" t="s">
        <v>105</v>
      </c>
    </row>
    <row r="39" spans="1:18" ht="409.5">
      <c r="A39" s="23"/>
      <c r="B39" s="10">
        <v>3</v>
      </c>
      <c r="C39" s="12" t="s">
        <v>20</v>
      </c>
      <c r="D39" s="12" t="s">
        <v>80</v>
      </c>
      <c r="E39" s="13">
        <v>20</v>
      </c>
      <c r="F39" s="14"/>
      <c r="G39" s="14"/>
      <c r="H39" s="14"/>
      <c r="I39" s="15"/>
      <c r="J39" s="15"/>
      <c r="K39" s="15"/>
      <c r="L39" s="16"/>
      <c r="M39" s="16"/>
      <c r="N39" s="16"/>
      <c r="O39" s="17"/>
      <c r="P39" s="17"/>
      <c r="Q39" s="17"/>
      <c r="R39" s="18" t="s">
        <v>105</v>
      </c>
    </row>
    <row r="40" spans="1:18" ht="409.5">
      <c r="A40" s="23"/>
      <c r="B40" s="10">
        <v>4</v>
      </c>
      <c r="C40" s="12" t="s">
        <v>24</v>
      </c>
      <c r="D40" s="12" t="s">
        <v>81</v>
      </c>
      <c r="E40" s="13">
        <v>10</v>
      </c>
      <c r="F40" s="14"/>
      <c r="G40" s="14"/>
      <c r="H40" s="14">
        <v>1</v>
      </c>
      <c r="I40" s="15"/>
      <c r="J40" s="15">
        <v>3</v>
      </c>
      <c r="K40" s="15"/>
      <c r="L40" s="16"/>
      <c r="M40" s="16"/>
      <c r="N40" s="16"/>
      <c r="O40" s="17"/>
      <c r="P40" s="17"/>
      <c r="Q40" s="17"/>
      <c r="R40" s="18" t="s">
        <v>106</v>
      </c>
    </row>
    <row r="41" spans="1:18" ht="409.5">
      <c r="A41" s="23"/>
      <c r="B41" s="10">
        <v>5</v>
      </c>
      <c r="C41" s="12" t="s">
        <v>82</v>
      </c>
      <c r="D41" s="12" t="s">
        <v>83</v>
      </c>
      <c r="E41" s="13">
        <v>15</v>
      </c>
      <c r="F41" s="14">
        <v>1</v>
      </c>
      <c r="G41" s="14"/>
      <c r="H41" s="14"/>
      <c r="I41" s="15">
        <v>1</v>
      </c>
      <c r="J41" s="15">
        <v>1</v>
      </c>
      <c r="K41" s="15"/>
      <c r="L41" s="16"/>
      <c r="M41" s="16"/>
      <c r="N41" s="16"/>
      <c r="O41" s="17"/>
      <c r="P41" s="17"/>
      <c r="Q41" s="17"/>
      <c r="R41" s="18" t="s">
        <v>106</v>
      </c>
    </row>
    <row r="42" spans="1:18" ht="409.5">
      <c r="A42" s="23"/>
      <c r="B42" s="10">
        <v>6</v>
      </c>
      <c r="C42" s="12"/>
      <c r="D42" s="12" t="s">
        <v>84</v>
      </c>
      <c r="E42" s="13">
        <v>7</v>
      </c>
      <c r="F42" s="14"/>
      <c r="G42" s="14"/>
      <c r="H42" s="14"/>
      <c r="I42" s="15"/>
      <c r="J42" s="15"/>
      <c r="K42" s="15"/>
      <c r="L42" s="16"/>
      <c r="M42" s="16"/>
      <c r="N42" s="16"/>
      <c r="O42" s="17"/>
      <c r="P42" s="17"/>
      <c r="Q42" s="17"/>
      <c r="R42" s="18" t="s">
        <v>105</v>
      </c>
    </row>
    <row r="43" spans="1:18" ht="409.5">
      <c r="A43" s="23"/>
      <c r="B43" s="10">
        <v>7</v>
      </c>
      <c r="C43" s="12"/>
      <c r="D43" s="12" t="s">
        <v>85</v>
      </c>
      <c r="E43" s="13">
        <v>14</v>
      </c>
      <c r="F43" s="14"/>
      <c r="G43" s="14"/>
      <c r="H43" s="14"/>
      <c r="I43" s="15"/>
      <c r="J43" s="15"/>
      <c r="K43" s="15"/>
      <c r="L43" s="16"/>
      <c r="M43" s="16"/>
      <c r="N43" s="16"/>
      <c r="O43" s="17"/>
      <c r="P43" s="17"/>
      <c r="Q43" s="17"/>
      <c r="R43" s="18" t="s">
        <v>105</v>
      </c>
    </row>
    <row r="44" spans="1:18" ht="409.5">
      <c r="A44" s="23"/>
      <c r="B44" s="10">
        <v>8</v>
      </c>
      <c r="C44" s="12"/>
      <c r="D44" s="12" t="s">
        <v>86</v>
      </c>
      <c r="E44" s="13">
        <v>13</v>
      </c>
      <c r="F44" s="14"/>
      <c r="G44" s="14"/>
      <c r="H44" s="14"/>
      <c r="I44" s="15"/>
      <c r="J44" s="15">
        <v>2</v>
      </c>
      <c r="K44" s="15">
        <v>1</v>
      </c>
      <c r="L44" s="16"/>
      <c r="M44" s="16"/>
      <c r="N44" s="16">
        <v>2</v>
      </c>
      <c r="O44" s="17"/>
      <c r="P44" s="17"/>
      <c r="Q44" s="17"/>
      <c r="R44" s="18" t="s">
        <v>106</v>
      </c>
    </row>
    <row r="45" spans="1:18" ht="409.5">
      <c r="A45" s="23"/>
      <c r="B45" s="10">
        <v>9</v>
      </c>
      <c r="C45" s="12"/>
      <c r="D45" s="12" t="s">
        <v>87</v>
      </c>
      <c r="E45" s="13">
        <v>11</v>
      </c>
      <c r="F45" s="14"/>
      <c r="G45" s="14"/>
      <c r="H45" s="14"/>
      <c r="I45" s="15"/>
      <c r="J45" s="15"/>
      <c r="K45" s="15"/>
      <c r="L45" s="16"/>
      <c r="M45" s="16"/>
      <c r="N45" s="16"/>
      <c r="O45" s="17"/>
      <c r="P45" s="17"/>
      <c r="Q45" s="17"/>
      <c r="R45" s="18" t="s">
        <v>105</v>
      </c>
    </row>
    <row r="46" spans="1:18" ht="409.5">
      <c r="A46" s="23"/>
      <c r="B46" s="10">
        <v>10</v>
      </c>
      <c r="C46" s="12"/>
      <c r="D46" s="12" t="s">
        <v>88</v>
      </c>
      <c r="E46" s="13">
        <v>15</v>
      </c>
      <c r="F46" s="14"/>
      <c r="G46" s="14"/>
      <c r="H46" s="14"/>
      <c r="I46" s="15"/>
      <c r="J46" s="15">
        <v>1</v>
      </c>
      <c r="K46" s="15">
        <v>1</v>
      </c>
      <c r="L46" s="16"/>
      <c r="M46" s="16"/>
      <c r="N46" s="16"/>
      <c r="O46" s="17"/>
      <c r="P46" s="17"/>
      <c r="Q46" s="17"/>
      <c r="R46" s="18" t="s">
        <v>106</v>
      </c>
    </row>
    <row r="47" spans="1:18" ht="409.5">
      <c r="A47" s="24" t="s">
        <v>134</v>
      </c>
      <c r="B47" s="10">
        <v>1</v>
      </c>
      <c r="C47" s="12" t="s">
        <v>89</v>
      </c>
      <c r="D47" s="12" t="s">
        <v>90</v>
      </c>
      <c r="E47" s="13">
        <v>10</v>
      </c>
      <c r="F47" s="14"/>
      <c r="G47" s="14"/>
      <c r="H47" s="14"/>
      <c r="I47" s="15"/>
      <c r="J47" s="15"/>
      <c r="K47" s="15"/>
      <c r="L47" s="16"/>
      <c r="M47" s="16"/>
      <c r="N47" s="16"/>
      <c r="O47" s="17"/>
      <c r="P47" s="17"/>
      <c r="Q47" s="17"/>
      <c r="R47" s="18" t="s">
        <v>105</v>
      </c>
    </row>
    <row r="48" spans="1:18" ht="409.5">
      <c r="A48" s="25"/>
      <c r="B48" s="10">
        <v>2</v>
      </c>
      <c r="C48" s="12" t="s">
        <v>91</v>
      </c>
      <c r="D48" s="12" t="s">
        <v>92</v>
      </c>
      <c r="E48" s="13">
        <v>13</v>
      </c>
      <c r="F48" s="14"/>
      <c r="G48" s="14"/>
      <c r="H48" s="14"/>
      <c r="I48" s="15"/>
      <c r="J48" s="15"/>
      <c r="K48" s="15"/>
      <c r="L48" s="16"/>
      <c r="M48" s="16"/>
      <c r="N48" s="16"/>
      <c r="O48" s="17">
        <v>1</v>
      </c>
      <c r="P48" s="17">
        <v>1</v>
      </c>
      <c r="Q48" s="17"/>
      <c r="R48" s="18" t="s">
        <v>107</v>
      </c>
    </row>
    <row r="49" spans="1:18" ht="409.5">
      <c r="A49" s="25"/>
      <c r="B49" s="10">
        <v>3</v>
      </c>
      <c r="C49" s="12" t="s">
        <v>93</v>
      </c>
      <c r="D49" s="12" t="s">
        <v>94</v>
      </c>
      <c r="E49" s="13">
        <v>12</v>
      </c>
      <c r="F49" s="14"/>
      <c r="G49" s="14"/>
      <c r="H49" s="14"/>
      <c r="I49" s="15"/>
      <c r="J49" s="15"/>
      <c r="K49" s="15"/>
      <c r="L49" s="16"/>
      <c r="M49" s="16"/>
      <c r="N49" s="16"/>
      <c r="O49" s="17"/>
      <c r="P49" s="17"/>
      <c r="Q49" s="17"/>
      <c r="R49" s="18" t="s">
        <v>105</v>
      </c>
    </row>
    <row r="50" spans="1:18" ht="409.5">
      <c r="A50" s="25"/>
      <c r="B50" s="10">
        <v>4</v>
      </c>
      <c r="C50" s="12" t="s">
        <v>95</v>
      </c>
      <c r="D50" s="12" t="s">
        <v>96</v>
      </c>
      <c r="E50" s="13">
        <v>15</v>
      </c>
      <c r="F50" s="14"/>
      <c r="G50" s="14"/>
      <c r="H50" s="14"/>
      <c r="I50" s="15"/>
      <c r="J50" s="15"/>
      <c r="K50" s="15"/>
      <c r="L50" s="16"/>
      <c r="M50" s="16"/>
      <c r="N50" s="16"/>
      <c r="O50" s="17"/>
      <c r="P50" s="17"/>
      <c r="Q50" s="17"/>
      <c r="R50" s="18" t="s">
        <v>105</v>
      </c>
    </row>
    <row r="51" spans="1:18" ht="409.5">
      <c r="A51" s="25"/>
      <c r="B51" s="10">
        <v>5</v>
      </c>
      <c r="C51" s="12" t="s">
        <v>97</v>
      </c>
      <c r="D51" s="12" t="s">
        <v>98</v>
      </c>
      <c r="E51" s="13">
        <v>15</v>
      </c>
      <c r="F51" s="14"/>
      <c r="G51" s="14"/>
      <c r="H51" s="14"/>
      <c r="I51" s="15"/>
      <c r="J51" s="15">
        <v>1</v>
      </c>
      <c r="K51" s="15"/>
      <c r="L51" s="16"/>
      <c r="M51" s="16"/>
      <c r="N51" s="16"/>
      <c r="O51" s="17"/>
      <c r="P51" s="17"/>
      <c r="Q51" s="17"/>
      <c r="R51" s="18" t="s">
        <v>106</v>
      </c>
    </row>
    <row r="52" spans="1:18" ht="409.5">
      <c r="A52" s="25"/>
      <c r="B52" s="10">
        <v>6</v>
      </c>
      <c r="C52" s="12" t="s">
        <v>99</v>
      </c>
      <c r="D52" s="12" t="s">
        <v>100</v>
      </c>
      <c r="E52" s="13">
        <v>13</v>
      </c>
      <c r="F52" s="14"/>
      <c r="G52" s="14"/>
      <c r="H52" s="14"/>
      <c r="I52" s="15"/>
      <c r="J52" s="15"/>
      <c r="K52" s="15"/>
      <c r="L52" s="16"/>
      <c r="M52" s="16"/>
      <c r="N52" s="16"/>
      <c r="O52" s="17"/>
      <c r="P52" s="17"/>
      <c r="Q52" s="17"/>
      <c r="R52" s="18" t="s">
        <v>105</v>
      </c>
    </row>
    <row r="53" spans="1:18" ht="409.5">
      <c r="A53" s="25"/>
      <c r="B53" s="10">
        <v>7</v>
      </c>
      <c r="C53" s="12" t="s">
        <v>101</v>
      </c>
      <c r="D53" s="12" t="s">
        <v>102</v>
      </c>
      <c r="E53" s="13">
        <v>15</v>
      </c>
      <c r="F53" s="14"/>
      <c r="G53" s="14"/>
      <c r="H53" s="14"/>
      <c r="I53" s="15"/>
      <c r="J53" s="15"/>
      <c r="K53" s="15"/>
      <c r="L53" s="16"/>
      <c r="M53" s="16"/>
      <c r="N53" s="16"/>
      <c r="O53" s="17"/>
      <c r="P53" s="17">
        <v>2</v>
      </c>
      <c r="Q53" s="17"/>
      <c r="R53" s="18" t="s">
        <v>107</v>
      </c>
    </row>
    <row r="54" spans="1:18" ht="409.5">
      <c r="A54" s="26"/>
      <c r="B54" s="10">
        <v>8</v>
      </c>
      <c r="C54" s="12" t="s">
        <v>103</v>
      </c>
      <c r="D54" s="12" t="s">
        <v>104</v>
      </c>
      <c r="E54" s="13">
        <v>8</v>
      </c>
      <c r="F54" s="14"/>
      <c r="G54" s="14"/>
      <c r="H54" s="14"/>
      <c r="I54" s="15"/>
      <c r="J54" s="15"/>
      <c r="K54" s="15"/>
      <c r="L54" s="16"/>
      <c r="M54" s="16"/>
      <c r="N54" s="16"/>
      <c r="O54" s="17"/>
      <c r="P54" s="17">
        <v>4</v>
      </c>
      <c r="Q54" s="17"/>
      <c r="R54" s="18" t="s">
        <v>107</v>
      </c>
    </row>
    <row r="55" spans="1:18" ht="16.5">
      <c r="A55" s="10"/>
      <c r="B55" s="20" t="s">
        <v>135</v>
      </c>
      <c r="C55" s="12"/>
      <c r="D55" s="12"/>
      <c r="E55" s="13"/>
      <c r="F55" s="14"/>
      <c r="G55" s="14"/>
      <c r="H55" s="14"/>
      <c r="I55" s="15"/>
      <c r="J55" s="15"/>
      <c r="K55" s="15"/>
      <c r="L55" s="16"/>
      <c r="M55" s="16"/>
      <c r="N55" s="16"/>
      <c r="O55" s="17"/>
      <c r="P55" s="17"/>
      <c r="Q55" s="17"/>
      <c r="R55" s="19">
        <v>0.7</v>
      </c>
    </row>
  </sheetData>
  <mergeCells count="16">
    <mergeCell ref="A5:A20"/>
    <mergeCell ref="A21:A36"/>
    <mergeCell ref="A37:A46"/>
    <mergeCell ref="A47:A54"/>
    <mergeCell ref="R1:R4"/>
    <mergeCell ref="F2:N2"/>
    <mergeCell ref="O2:Q3"/>
    <mergeCell ref="F3:H3"/>
    <mergeCell ref="I3:K3"/>
    <mergeCell ref="L3:N3"/>
    <mergeCell ref="A1:A4"/>
    <mergeCell ref="B1:B4"/>
    <mergeCell ref="C1:C4"/>
    <mergeCell ref="D1:D4"/>
    <mergeCell ref="E1:E4"/>
    <mergeCell ref="F1:Q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Generated Visualizations</vt:lpstr>
      <vt:lpstr>Generaed 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Z.N. Chan</cp:lastModifiedBy>
  <dcterms:created xsi:type="dcterms:W3CDTF">2023-05-12T11:15:00Z</dcterms:created>
  <dcterms:modified xsi:type="dcterms:W3CDTF">2026-05-08T07:53:24Z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